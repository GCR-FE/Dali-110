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exue\Desktop\Claude Project\opportunity-progression\"/>
    </mc:Choice>
  </mc:AlternateContent>
  <xr:revisionPtr revIDLastSave="0" documentId="13_ncr:1_{D3956EB1-4B31-4AB8-9A7E-D7C7D7679C86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Opportunity Basic Information" sheetId="5" r:id="rId1"/>
    <sheet name="评估积分卡 (TC) " sheetId="8" r:id="rId2"/>
    <sheet name="评估积分卡 (SC)" sheetId="7" r:id="rId3"/>
    <sheet name="Scorecard（English）" sheetId="3" r:id="rId4"/>
    <sheet name="Competitive Info" sheetId="6" r:id="rId5"/>
  </sheets>
  <definedNames>
    <definedName name="_xlnm.Print_Area" localSheetId="0">'Opportunity Basic Information'!$A$7:$G$21</definedName>
    <definedName name="_xlnm.Print_Area" localSheetId="3">'Scorecard（English）'!$B$2:$U$46</definedName>
    <definedName name="_xlnm.Print_Area" localSheetId="2">'评估积分卡 (SC)'!$A$1:$V$47</definedName>
    <definedName name="_xlnm.Print_Area" localSheetId="1">'评估积分卡 (TC) '!$A$1:$V$47</definedName>
    <definedName name="Role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5" l="1" a="1"/>
  <c r="H3" i="5" s="1"/>
  <c r="P46" i="8"/>
  <c r="J46" i="8"/>
  <c r="P45" i="8"/>
  <c r="J45" i="8"/>
  <c r="P44" i="8"/>
  <c r="J44" i="8"/>
  <c r="K43" i="8"/>
  <c r="E43" i="8"/>
  <c r="P41" i="8"/>
  <c r="J41" i="8"/>
  <c r="P40" i="8"/>
  <c r="J40" i="8"/>
  <c r="P39" i="8"/>
  <c r="J39" i="8"/>
  <c r="K38" i="8"/>
  <c r="E38" i="8"/>
  <c r="P36" i="8"/>
  <c r="J36" i="8"/>
  <c r="P35" i="8"/>
  <c r="J35" i="8"/>
  <c r="P34" i="8"/>
  <c r="J34" i="8"/>
  <c r="P33" i="8"/>
  <c r="J33" i="8"/>
  <c r="K32" i="8"/>
  <c r="E32" i="8"/>
  <c r="P30" i="8"/>
  <c r="J30" i="8"/>
  <c r="P29" i="8"/>
  <c r="J29" i="8"/>
  <c r="P28" i="8"/>
  <c r="J28" i="8"/>
  <c r="K27" i="8"/>
  <c r="E27" i="8"/>
  <c r="P25" i="8"/>
  <c r="J25" i="8"/>
  <c r="P24" i="8"/>
  <c r="J24" i="8"/>
  <c r="P23" i="8"/>
  <c r="J23" i="8"/>
  <c r="K22" i="8"/>
  <c r="E22" i="8"/>
  <c r="P20" i="8"/>
  <c r="J20" i="8"/>
  <c r="P19" i="8"/>
  <c r="J19" i="8"/>
  <c r="P18" i="8"/>
  <c r="J18" i="8"/>
  <c r="K17" i="8"/>
  <c r="E17" i="8"/>
  <c r="P15" i="8"/>
  <c r="J15" i="8"/>
  <c r="P14" i="8"/>
  <c r="J14" i="8"/>
  <c r="P13" i="8"/>
  <c r="J13" i="8"/>
  <c r="E11" i="8" s="1"/>
  <c r="I3" i="8" s="1"/>
  <c r="P12" i="8"/>
  <c r="J12" i="8"/>
  <c r="K11" i="8"/>
  <c r="O3" i="8" s="1"/>
  <c r="P9" i="8"/>
  <c r="J9" i="8"/>
  <c r="P8" i="8"/>
  <c r="J8" i="8"/>
  <c r="P7" i="8"/>
  <c r="J7" i="8"/>
  <c r="K6" i="8"/>
  <c r="E6" i="8"/>
  <c r="P46" i="7"/>
  <c r="J46" i="7"/>
  <c r="P45" i="7"/>
  <c r="J45" i="7"/>
  <c r="P44" i="7"/>
  <c r="J44" i="7"/>
  <c r="K43" i="7"/>
  <c r="E43" i="7"/>
  <c r="P41" i="7"/>
  <c r="J41" i="7"/>
  <c r="P40" i="7"/>
  <c r="J40" i="7"/>
  <c r="P39" i="7"/>
  <c r="J39" i="7"/>
  <c r="K38" i="7"/>
  <c r="E38" i="7"/>
  <c r="P36" i="7"/>
  <c r="J36" i="7"/>
  <c r="P35" i="7"/>
  <c r="J35" i="7"/>
  <c r="P34" i="7"/>
  <c r="J34" i="7"/>
  <c r="P33" i="7"/>
  <c r="J33" i="7"/>
  <c r="K32" i="7"/>
  <c r="E32" i="7"/>
  <c r="P30" i="7"/>
  <c r="J30" i="7"/>
  <c r="P29" i="7"/>
  <c r="J29" i="7"/>
  <c r="P28" i="7"/>
  <c r="J28" i="7"/>
  <c r="K27" i="7"/>
  <c r="E27" i="7"/>
  <c r="P25" i="7"/>
  <c r="J25" i="7"/>
  <c r="P24" i="7"/>
  <c r="J24" i="7"/>
  <c r="P23" i="7"/>
  <c r="J23" i="7"/>
  <c r="K22" i="7"/>
  <c r="E22" i="7"/>
  <c r="P20" i="7"/>
  <c r="J20" i="7"/>
  <c r="P19" i="7"/>
  <c r="J19" i="7"/>
  <c r="P18" i="7"/>
  <c r="J18" i="7"/>
  <c r="E17" i="7" s="1"/>
  <c r="I3" i="7" s="1"/>
  <c r="K17" i="7"/>
  <c r="P15" i="7"/>
  <c r="J15" i="7"/>
  <c r="P14" i="7"/>
  <c r="J14" i="7"/>
  <c r="P13" i="7"/>
  <c r="J13" i="7"/>
  <c r="P12" i="7"/>
  <c r="J12" i="7"/>
  <c r="K11" i="7"/>
  <c r="E11" i="7"/>
  <c r="P9" i="7"/>
  <c r="J9" i="7"/>
  <c r="P8" i="7"/>
  <c r="J8" i="7"/>
  <c r="P7" i="7"/>
  <c r="J7" i="7"/>
  <c r="K6" i="7"/>
  <c r="O3" i="7" s="1"/>
  <c r="E6" i="7"/>
  <c r="B6" i="6"/>
  <c r="B2" i="6"/>
  <c r="P13" i="3"/>
  <c r="P12" i="3"/>
  <c r="J13" i="3"/>
  <c r="J12" i="3"/>
  <c r="P25" i="3"/>
  <c r="J25" i="3"/>
  <c r="P24" i="3"/>
  <c r="J24" i="3"/>
  <c r="P23" i="3"/>
  <c r="J23" i="3"/>
  <c r="P9" i="3"/>
  <c r="J9" i="3"/>
  <c r="P8" i="3"/>
  <c r="J8" i="3"/>
  <c r="P7" i="3"/>
  <c r="J7" i="3"/>
  <c r="P30" i="3"/>
  <c r="P29" i="3"/>
  <c r="P28" i="3"/>
  <c r="P46" i="3"/>
  <c r="P45" i="3"/>
  <c r="P44" i="3"/>
  <c r="P41" i="3"/>
  <c r="P40" i="3"/>
  <c r="P39" i="3"/>
  <c r="P36" i="3"/>
  <c r="P35" i="3"/>
  <c r="P34" i="3"/>
  <c r="P33" i="3"/>
  <c r="P20" i="3"/>
  <c r="P19" i="3"/>
  <c r="P18" i="3"/>
  <c r="P15" i="3"/>
  <c r="P14" i="3"/>
  <c r="J30" i="3"/>
  <c r="J29" i="3"/>
  <c r="J28" i="3"/>
  <c r="J46" i="3"/>
  <c r="J45" i="3"/>
  <c r="J44" i="3"/>
  <c r="J41" i="3"/>
  <c r="J40" i="3"/>
  <c r="J39" i="3"/>
  <c r="J36" i="3"/>
  <c r="J35" i="3"/>
  <c r="J34" i="3"/>
  <c r="J33" i="3"/>
  <c r="J20" i="3"/>
  <c r="J19" i="3"/>
  <c r="J18" i="3"/>
  <c r="J15" i="3"/>
  <c r="J14" i="3"/>
  <c r="K6" i="3" l="1"/>
  <c r="K22" i="3"/>
  <c r="E22" i="3"/>
  <c r="E6" i="3"/>
  <c r="K27" i="3"/>
  <c r="E11" i="3"/>
  <c r="E43" i="3"/>
  <c r="K32" i="3"/>
  <c r="K17" i="3"/>
  <c r="K38" i="3"/>
  <c r="K43" i="3"/>
  <c r="K11" i="3"/>
  <c r="E27" i="3"/>
  <c r="E38" i="3"/>
  <c r="E17" i="3"/>
  <c r="E32" i="3"/>
  <c r="O3" i="3" l="1"/>
  <c r="I3" i="3"/>
  <c r="G3" i="5" s="1" a="1"/>
  <c r="G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<sst xmlns="http://schemas.openxmlformats.org/spreadsheetml/2006/main" count="403" uniqueCount="187">
  <si>
    <t>机会记分卡</t>
  </si>
  <si>
    <t>行动/补救计划</t>
  </si>
  <si>
    <t>可能会遇到什么问题？</t>
  </si>
  <si>
    <t>日期</t>
  </si>
  <si>
    <t>备注</t>
    <phoneticPr fontId="7"/>
  </si>
  <si>
    <t>已识别客户的痛点及其影响。</t>
    <phoneticPr fontId="7"/>
  </si>
  <si>
    <t>Opportunity Scorecard</t>
  </si>
  <si>
    <t>Yes</t>
  </si>
  <si>
    <t>The decision criteria are differentiated for AWS.</t>
    <phoneticPr fontId="11" type="noConversion"/>
  </si>
  <si>
    <t>The customer agrees the pain compels them to act.</t>
    <phoneticPr fontId="11" type="noConversion"/>
  </si>
  <si>
    <t>I have evidence the Champion is selling internally.</t>
    <phoneticPr fontId="11" type="noConversion"/>
  </si>
  <si>
    <t>Economic Buyer（最终决策者）</t>
  </si>
  <si>
    <t>Decision Criteria（决策标准）</t>
  </si>
  <si>
    <t>Decision Process（决策流程）</t>
  </si>
  <si>
    <t>Paper Process（文件流程）</t>
  </si>
  <si>
    <t>Champion（客户内部支持者）</t>
  </si>
  <si>
    <t>Competition（竞争）</t>
  </si>
  <si>
    <t>Champion（客户内部支持者）已确认决策标准。</t>
  </si>
  <si>
    <t>Economic Buyer（最终决策者）确认倾向选择 AWS</t>
  </si>
  <si>
    <t>Champion（客户内部支持者）有权力和影响力。</t>
  </si>
  <si>
    <t>Champion（客户内部支持者）提供有价值的信息。</t>
  </si>
  <si>
    <t>Economic Buyer（最终决策者）已口头同意交易。</t>
  </si>
  <si>
    <t>已和 Champion（客户内部支持者）验证过指标。</t>
  </si>
  <si>
    <t>Metrics（指标）</t>
  </si>
  <si>
    <t>有证据表明 Champion（客户内部支持者）正在其企业内部推动机会。</t>
  </si>
  <si>
    <t>已和 Economic Buyer（最终决策者）验证过指标。</t>
  </si>
  <si>
    <t xml:space="preserve">了解客户在签订协议时的 Paper Process（文件流程）和要求（如必要，包括 RFP/RFI 标准）。 </t>
  </si>
  <si>
    <t>Account Name</t>
    <phoneticPr fontId="11" type="noConversion"/>
  </si>
  <si>
    <t>#OneTeam 角色</t>
    <phoneticPr fontId="7"/>
  </si>
  <si>
    <t>Prospect</t>
  </si>
  <si>
    <t>Qualified</t>
  </si>
  <si>
    <t>Business Validation</t>
  </si>
  <si>
    <t>Committed</t>
  </si>
  <si>
    <t>Closed/Launched</t>
  </si>
  <si>
    <r>
      <t xml:space="preserve">Metrics
</t>
    </r>
    <r>
      <rPr>
        <sz val="10"/>
        <rFont val="微软雅黑"/>
        <family val="2"/>
        <charset val="134"/>
      </rPr>
      <t>（指标）</t>
    </r>
  </si>
  <si>
    <t>Paper Process
（文件流程）</t>
  </si>
  <si>
    <t>Decision Criteria
（决策标准）</t>
  </si>
  <si>
    <t>Champion
（客户内部支持者）</t>
  </si>
  <si>
    <t>Decision Process
（决策流程）</t>
  </si>
  <si>
    <t>Economic Buyer
（最终决策者）</t>
  </si>
  <si>
    <t>Tech 
Validation</t>
  </si>
  <si>
    <t>Economic 
Buyer
（最终决策者）</t>
  </si>
  <si>
    <t>Competition
（竞争）</t>
  </si>
  <si>
    <t>了解紧急程度并已经把业务痛点量化为指标。</t>
  </si>
  <si>
    <t>已掌握客户的购买决策标准。</t>
  </si>
  <si>
    <t>Decision Criteria（决策标准）有利于 AWS，能体现AWS的独特价值。</t>
  </si>
  <si>
    <t>法务、财务和 Economic Buyer（最终决策者）的目标是一致的。</t>
  </si>
  <si>
    <t>有文件/采购流程的 Champion（客户内部支持者）能指导我们如何走通合同与采购流程。</t>
  </si>
  <si>
    <t>客户痛点有足够可量化的负面业务影响。</t>
  </si>
  <si>
    <t>AWS有备选方案所不具备的优势。</t>
  </si>
  <si>
    <t>The Economic Buyer recognizes the business pain points, AWS solutions, and the value (metrics) that the solutions deliver.</t>
    <phoneticPr fontId="11" type="noConversion"/>
  </si>
  <si>
    <t>客户的需求标准更倾向于AWS。</t>
  </si>
  <si>
    <t>正在执行一个双方达成一致的文件流程。</t>
  </si>
  <si>
    <t>正在执行双方达成一致的成交计划。</t>
  </si>
  <si>
    <t>Champion（客户内部支持者）提供完成交易的必要步骤。</t>
  </si>
  <si>
    <t>业务导向</t>
  </si>
  <si>
    <t>流程导向</t>
  </si>
  <si>
    <t>Economic Buyer (最终决策者) 认可业务痛点、AWS解决方案以及方案带来的价值 (指标)。</t>
  </si>
  <si>
    <t>已经把Economic Buyer（最终决策者）最关注的业务成果或战略目标作为指标。</t>
  </si>
  <si>
    <t>客户认同当前痛点具有紧迫性，需要他们立即采取行动。</t>
  </si>
  <si>
    <t>课前练习</t>
  </si>
  <si>
    <t>课后练习</t>
  </si>
  <si>
    <t>Implicate the Pain（识别痛点）</t>
    <phoneticPr fontId="7"/>
  </si>
  <si>
    <t>I have identified the customer's pain and the implications.</t>
    <phoneticPr fontId="11" type="noConversion"/>
  </si>
  <si>
    <t>There are sufficient, quantifiable, negative consequences of the pain.</t>
    <phoneticPr fontId="11" type="noConversion"/>
  </si>
  <si>
    <t>The Champion has confirmed the decision criteria.</t>
    <phoneticPr fontId="11" type="noConversion"/>
  </si>
  <si>
    <t>I know the urgency and quantified the business problem(s) into a metric.</t>
    <phoneticPr fontId="11" type="noConversion"/>
  </si>
  <si>
    <t>I verified the metric with my Champion(s).</t>
    <phoneticPr fontId="11" type="noConversion"/>
  </si>
  <si>
    <t>I verified the metric with the Economic Buyer.</t>
    <phoneticPr fontId="11" type="noConversion"/>
  </si>
  <si>
    <t>My Champion has power and influence.</t>
    <phoneticPr fontId="11" type="noConversion"/>
  </si>
  <si>
    <t>The Champion has provided me with the steps to close the deal.</t>
    <phoneticPr fontId="11" type="noConversion"/>
  </si>
  <si>
    <t>Legal, Finance and Economic Buyer/seller are aligned.</t>
    <phoneticPr fontId="11" type="noConversion"/>
  </si>
  <si>
    <t>The Champion is providing valuable intel.</t>
    <phoneticPr fontId="11" type="noConversion"/>
  </si>
  <si>
    <t>We are executing on a mutually aligned close plan.</t>
    <phoneticPr fontId="11" type="noConversion"/>
  </si>
  <si>
    <t xml:space="preserve">I understand the customer's paper process and requirements (RFP/RFI criteria if necessary) to form an agreement. </t>
    <phoneticPr fontId="11" type="noConversion"/>
  </si>
  <si>
    <t>I have a paper/procurement Champion.</t>
    <phoneticPr fontId="11" type="noConversion"/>
  </si>
  <si>
    <t>We are executing on a mutually aligned paper process</t>
    <phoneticPr fontId="11" type="noConversion"/>
  </si>
  <si>
    <t>The Economic Buyer has given me a verbal 'go' on the deal.</t>
    <phoneticPr fontId="11" type="noConversion"/>
  </si>
  <si>
    <r>
      <t xml:space="preserve">Implicate 
the Pain
</t>
    </r>
    <r>
      <rPr>
        <sz val="10"/>
        <rFont val="微软雅黑"/>
        <family val="2"/>
        <charset val="134"/>
      </rPr>
      <t>（识别痛点）</t>
    </r>
  </si>
  <si>
    <t>已与 Economic Buyer（最终决策者）接触并提及了该项目。</t>
  </si>
  <si>
    <t>Our key metric is directly aligned with the Economic Buyer's primary business objectives and strategic goals.</t>
    <phoneticPr fontId="11" type="noConversion"/>
  </si>
  <si>
    <t>I have engaged with the Economic Buyer and discussed the initiative.</t>
    <phoneticPr fontId="11" type="noConversion"/>
  </si>
  <si>
    <t>知道客户在考虑除 AWS 以外的备选方案。 (如果选择Yes, 请到 “竞争分析” Tab 填入细节。)</t>
  </si>
  <si>
    <t>Action Plan</t>
  </si>
  <si>
    <t>Opp Stage</t>
  </si>
  <si>
    <t>Customer opportunity identified</t>
  </si>
  <si>
    <t>Initial customer meeting scheduled</t>
  </si>
  <si>
    <t>Customer is willing to pursue a solution</t>
  </si>
  <si>
    <t>Closed/Lost
No commitment from customer to proceed or existing commitment can no longer be honored
Another cloud provider has been selected by the customer</t>
  </si>
  <si>
    <t>Closed/Launched
Customer solution has started to move to AWS OR customer usage has spiked by 10% of opportunity MRR value (Utility &amp; Committed contract)
Customer has signed an agreement (Private Pricing Agreement)</t>
  </si>
  <si>
    <t>Business Driven</t>
  </si>
  <si>
    <t>Business 
Driven</t>
  </si>
  <si>
    <t>Process Driven</t>
  </si>
  <si>
    <t>Process 
Driven</t>
  </si>
  <si>
    <r>
      <t xml:space="preserve">Metrics
</t>
    </r>
    <r>
      <rPr>
        <sz val="10"/>
        <rFont val="微软雅黑"/>
        <family val="2"/>
        <charset val="134"/>
      </rPr>
      <t>（指標）</t>
    </r>
  </si>
  <si>
    <t>Economic Buyer
（最終決策者）</t>
  </si>
  <si>
    <t>Decision Criteria
（決策標準）</t>
  </si>
  <si>
    <t>Decision Process
（決策流程）</t>
  </si>
  <si>
    <t>Competition
（競爭）</t>
  </si>
  <si>
    <t>Champion
（客戶內部支持者）</t>
  </si>
  <si>
    <r>
      <t xml:space="preserve">Implicate 
the Pain
</t>
    </r>
    <r>
      <rPr>
        <sz val="10"/>
        <rFont val="微软雅黑"/>
        <family val="2"/>
        <charset val="134"/>
      </rPr>
      <t>（識別痛點）</t>
    </r>
  </si>
  <si>
    <t>Implicate the Pain（識別痛點）</t>
  </si>
  <si>
    <t>Metrics（指標）</t>
  </si>
  <si>
    <t>了解紧急程度并已经把业务痛点量化为指標。</t>
  </si>
  <si>
    <t>Metrics
（指標）</t>
  </si>
  <si>
    <t>Economic Buyer (最終決策者) 认可业务痛点、AWS解决方案以及方案带来的价值 (指標)。</t>
  </si>
  <si>
    <t>Economic 
Buyer
（最終決策者）</t>
  </si>
  <si>
    <t>Economic Buyer（最終決策者）</t>
  </si>
  <si>
    <t>Champion（客戶內部支持者）</t>
  </si>
  <si>
    <t>Competition（競爭）</t>
  </si>
  <si>
    <t>Decision Criteria（決策標準）</t>
  </si>
  <si>
    <t>Decision Process（決策流程）</t>
  </si>
  <si>
    <t>Process
 Driven</t>
  </si>
  <si>
    <t>Pre-Class Exercise</t>
  </si>
  <si>
    <t>AWS has advantages that alternatives do not.</t>
  </si>
  <si>
    <t>The customer's decision criteria favor AWS over the alternatives.</t>
  </si>
  <si>
    <t>The customer’s buying decision criteria have been identified.</t>
  </si>
  <si>
    <t>機會記分卡</t>
  </si>
  <si>
    <t>課前練習</t>
  </si>
  <si>
    <t>課後練習</t>
  </si>
  <si>
    <t>客戶認同當前痛點具有緊迫性，需要他們立即採取行動。</t>
  </si>
  <si>
    <t>客戶痛點有足夠可量化的負面業務影響。</t>
  </si>
  <si>
    <t>已識別客戶的痛點及其影響。</t>
  </si>
  <si>
    <t>已經把Economic Buyer（最終決策者）最關注的業務成果或戰略目標作為指標。</t>
  </si>
  <si>
    <t>已和 Champion（客戶內部支持者）驗證過指標。</t>
  </si>
  <si>
    <t>已和 Economic Buyer（最終決策者）驗證過指標。</t>
  </si>
  <si>
    <t>已與 Economic Buyer（最終決策者）接觸並提及了該項目。</t>
  </si>
  <si>
    <t>Economic Buyer（最終決策者）已口頭同意交易。</t>
  </si>
  <si>
    <t>業務導向</t>
  </si>
  <si>
    <t>流程導向</t>
  </si>
  <si>
    <t>核心資源</t>
  </si>
  <si>
    <t>Core Resource</t>
  </si>
  <si>
    <t>Champion（客戶內部支持者）有權力和影響力。</t>
  </si>
  <si>
    <t>Champion（客戶內部支持者）提供有價值的信息。</t>
  </si>
  <si>
    <t>有證據證明 Champion（客戶內部支持者）正在其企業內部推動機會。</t>
  </si>
  <si>
    <t>知道客戶在考慮除 AWS 以外備選方案。 （如果選擇Yes，請到“競爭分析”Tab填入細節。)</t>
  </si>
  <si>
    <t>AWS有備選方案所不具備的優勢。</t>
  </si>
  <si>
    <t>客戶的需求標準更傾向與AWS。</t>
  </si>
  <si>
    <t>已掌握客戶的購買決策標準。</t>
  </si>
  <si>
    <t>Champion（客戶內部支持者）已確認決策標準。</t>
  </si>
  <si>
    <t>Decision Criteria（決策標準）有利於 AWS，能體現AWS的獨特價值。</t>
  </si>
  <si>
    <t>Economic Buyer（最終決策者）確認傾向選擇 AWS。</t>
  </si>
  <si>
    <t>Champion（客戶內部支持者）提供完成的必要步驟。</t>
  </si>
  <si>
    <t>法務、財務和 Economic Buyer（最終決策者）的目標是一致的。</t>
  </si>
  <si>
    <t>正在執行雙方達成一致的成交計畫。</t>
  </si>
  <si>
    <t xml:space="preserve">了解客戶在簽訂協議時的 Paper Process（文件流程）和要求（如必要，包括 RFP/RFI標準）。 </t>
  </si>
  <si>
    <t>有文件/採購流程的 Champion（客戶內部支持者）能指導我們如何走通合同與採購流程。</t>
  </si>
  <si>
    <t>正在執行一個雙方達成一致的文件流程。</t>
  </si>
  <si>
    <t>#OneTeam Role</t>
  </si>
  <si>
    <t>#OneTeam 角色</t>
  </si>
  <si>
    <t>行動/補救計畫</t>
  </si>
  <si>
    <t>可能會遇到什麼問題？</t>
  </si>
  <si>
    <t>備註</t>
  </si>
  <si>
    <t>Action/Backup Plan</t>
  </si>
  <si>
    <t>Potential Issues</t>
  </si>
  <si>
    <t>Remarks</t>
  </si>
  <si>
    <t>Describe current status (what has been done, what is still missing)</t>
  </si>
  <si>
    <t xml:space="preserve">Opportunity Detials </t>
  </si>
  <si>
    <t>1. Account Name</t>
  </si>
  <si>
    <t>3. Customer Business Objective</t>
  </si>
  <si>
    <t>4. Potential Obstacles to Winning the Deal or Customer Concerns</t>
  </si>
  <si>
    <t>5. Current Opportunity Stage</t>
  </si>
  <si>
    <t>AWS Solutions and Services</t>
  </si>
  <si>
    <t>2. Job Title and Department of the Economic Buyer</t>
  </si>
  <si>
    <t>After-Class Exericse</t>
  </si>
  <si>
    <t>Aware that the customer is considering alternatives to AWS. (If "Yes", go to the "Competitive Info" tab and fill in the details.</t>
  </si>
  <si>
    <t>Information from the current and all previous stages needs to be entered</t>
  </si>
  <si>
    <t>Exit Criteria</t>
  </si>
  <si>
    <t>Target Date</t>
  </si>
  <si>
    <t>Current 
completion %</t>
  </si>
  <si>
    <t>AWS Competitor  MUST fill in here (E.g GCP, Ali, Azure)</t>
  </si>
  <si>
    <t>DON’T FILL IN</t>
  </si>
  <si>
    <t>Opportunity Name</t>
  </si>
  <si>
    <t xml:space="preserve">EDDIC Score-Before (/63)
(Do not manually enter)</t>
  </si>
  <si>
    <t xml:space="preserve">EDDIC Score-After (/63)
(Do not manually enter)</t>
  </si>
  <si>
    <r>
      <t xml:space="preserve">Oppt Stage
</t>
    </r>
    <r>
      <rPr>
        <b/>
        <sz val="11"/>
        <color theme="4"/>
        <rFont val="Arial"/>
        <family val="2"/>
      </rPr>
      <t>(Choose from dropdown)</t>
    </r>
    <phoneticPr fontId="11" type="noConversion"/>
  </si>
  <si>
    <t>For "Others" opportunity type, provide description here</t>
    <phoneticPr fontId="11" type="noConversion"/>
  </si>
  <si>
    <r>
      <t xml:space="preserve">Opportunity Type
</t>
    </r>
    <r>
      <rPr>
        <b/>
        <sz val="11"/>
        <color theme="4"/>
        <rFont val="Arial"/>
        <family val="2"/>
      </rPr>
      <t>(Choose from dropdown)</t>
    </r>
    <phoneticPr fontId="11" type="noConversion"/>
  </si>
  <si>
    <r>
      <t xml:space="preserve">Opportunity Location </t>
    </r>
    <r>
      <rPr>
        <b/>
        <sz val="11"/>
        <color theme="4"/>
        <rFont val="Arial"/>
        <family val="2"/>
      </rPr>
      <t>(Choose from dropdown)</t>
    </r>
    <phoneticPr fontId="11" type="noConversion"/>
  </si>
  <si>
    <t>Delivery governance implemented
Closed/Launched is the final stage in opportunity progression and signals that the opportunity has been won</t>
    <phoneticPr fontId="11" type="noConversion"/>
  </si>
  <si>
    <t>Deal details, including economics and close plan, have been jointly reviewed and agreed to with customer</t>
    <phoneticPr fontId="11" type="noConversion"/>
  </si>
  <si>
    <t>Relevant customer approvals have been secured</t>
    <phoneticPr fontId="11" type="noConversion"/>
  </si>
  <si>
    <t>Technical solution design finalized and agreed with customer</t>
    <phoneticPr fontId="11" type="noConversion"/>
  </si>
  <si>
    <t>Customer and AWS share common understanding of solution architecture, implementation, and process</t>
    <phoneticPr fontId="11" type="noConversion"/>
  </si>
  <si>
    <t>Delivery partner strategy (Partner and/or ProServe) identified</t>
    <phoneticPr fontId="11" type="noConversion"/>
  </si>
  <si>
    <t>Customer champion &amp; decision-maker identified</t>
    <phoneticPr fontId="11" type="noConversion"/>
  </si>
  <si>
    <t>Opportunity has products with a valid estimated value (non-zero-dollar value)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</si>
</sst>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color rgb="FF000000"/>
      <name val="Arial"/>
    </font>
    <font>
      <sz val="10"/>
      <name val="Arial"/>
      <family val="2"/>
    </font>
    <font>
      <sz val="30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6"/>
      <name val="HGGothicE"/>
      <family val="3"/>
      <charset val="128"/>
    </font>
    <font>
      <sz val="10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9"/>
      <name val="宋体"/>
      <family val="3"/>
      <charset val="134"/>
    </font>
    <font>
      <sz val="18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22"/>
      <color rgb="FFFF0000"/>
      <name val="Arial"/>
      <family val="2"/>
    </font>
    <font>
      <b/>
      <sz val="22"/>
      <color theme="4"/>
      <name val="Arial"/>
      <family val="2"/>
    </font>
    <font>
      <b/>
      <sz val="22"/>
      <color rgb="FFFF0000"/>
      <name val="宋体"/>
      <family val="2"/>
      <charset val="134"/>
    </font>
    <font>
      <b/>
      <sz val="22"/>
      <color theme="4"/>
      <name val="宋体"/>
      <family val="2"/>
      <charset val="134"/>
    </font>
    <font>
      <b/>
      <sz val="12"/>
      <color theme="0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b/>
      <sz val="12"/>
      <color theme="0"/>
      <name val="Arial"/>
      <family val="2"/>
    </font>
    <font>
      <b/>
      <sz val="22"/>
      <color theme="1"/>
      <name val="微软雅黑"/>
      <family val="2"/>
      <charset val="134"/>
    </font>
    <font>
      <sz val="11"/>
      <name val="Amazon Ember"/>
      <family val="2"/>
    </font>
    <font>
      <sz val="11"/>
      <color rgb="FF000000"/>
      <name val="Amazon Ember"/>
      <family val="2"/>
    </font>
    <font>
      <b/>
      <sz val="11"/>
      <color rgb="FFFF0000"/>
      <name val="Arial"/>
      <family val="2"/>
    </font>
    <font>
      <b/>
      <sz val="14"/>
      <color rgb="FF000000"/>
      <name val="Amazon Ember"/>
      <family val="2"/>
    </font>
    <font>
      <sz val="14"/>
      <color theme="1"/>
      <name val="Amazon Ember"/>
      <family val="2"/>
    </font>
    <font>
      <sz val="14"/>
      <name val="Amazon Ember"/>
      <family val="2"/>
    </font>
    <font>
      <sz val="14"/>
      <color rgb="FF000000"/>
      <name val="Amazon Ember"/>
      <family val="2"/>
    </font>
    <font>
      <sz val="10"/>
      <color theme="0"/>
      <name val="Arial"/>
      <family val="2"/>
    </font>
    <font>
      <b/>
      <sz val="11"/>
      <color theme="4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40FF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rgb="FF000000"/>
      </left>
      <right style="medium">
        <color indexed="64"/>
      </right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medium">
        <color indexed="64"/>
      </bottom>
      <diagonal/>
    </border>
    <border>
      <left style="double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rgb="FF000000"/>
      </right>
      <top/>
      <bottom style="double">
        <color rgb="FF000000"/>
      </bottom>
      <diagonal/>
    </border>
    <border>
      <left style="medium">
        <color indexed="64"/>
      </left>
      <right style="double">
        <color rgb="FF000000"/>
      </right>
      <top style="double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Protection="0"/>
    <xf numFmtId="0" fontId="6" fillId="0" borderId="0"/>
  </cellStyleXfs>
  <cellXfs count="194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6" fillId="5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3" fillId="2" borderId="0" xfId="0" applyFont="1" applyFill="1" applyAlignment="1">
      <alignment horizontal="right" vertical="center" wrapText="1"/>
    </xf>
    <xf numFmtId="0" fontId="13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2" borderId="0" xfId="0" applyFont="1" applyFill="1"/>
    <xf numFmtId="0" fontId="14" fillId="0" borderId="0" xfId="0" applyFont="1"/>
    <xf numFmtId="0" fontId="13" fillId="3" borderId="4" xfId="0" applyFont="1" applyFill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" fillId="0" borderId="30" xfId="0" applyFont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6" fillId="0" borderId="5" xfId="0" applyFont="1" applyBorder="1"/>
    <xf numFmtId="0" fontId="0" fillId="0" borderId="5" xfId="0" applyBorder="1" applyAlignment="1">
      <alignment horizontal="center"/>
    </xf>
    <xf numFmtId="0" fontId="6" fillId="0" borderId="5" xfId="0" applyFont="1" applyBorder="1" applyAlignment="1">
      <alignment wrapText="1"/>
    </xf>
    <xf numFmtId="0" fontId="0" fillId="8" borderId="0" xfId="0" applyFill="1"/>
    <xf numFmtId="0" fontId="3" fillId="8" borderId="5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horizontal="left" vertical="center" wrapText="1"/>
    </xf>
    <xf numFmtId="0" fontId="8" fillId="8" borderId="0" xfId="0" applyFont="1" applyFill="1"/>
    <xf numFmtId="0" fontId="10" fillId="8" borderId="0" xfId="0" applyFont="1" applyFill="1" applyAlignment="1">
      <alignment vertical="center"/>
    </xf>
    <xf numFmtId="0" fontId="0" fillId="8" borderId="0" xfId="0" applyFill="1" applyAlignment="1">
      <alignment horizontal="center"/>
    </xf>
    <xf numFmtId="0" fontId="8" fillId="8" borderId="0" xfId="0" applyFont="1" applyFill="1" applyAlignment="1">
      <alignment wrapText="1"/>
    </xf>
    <xf numFmtId="0" fontId="14" fillId="8" borderId="0" xfId="0" applyFont="1" applyFill="1" applyAlignment="1">
      <alignment wrapText="1"/>
    </xf>
    <xf numFmtId="0" fontId="9" fillId="8" borderId="0" xfId="0" applyFont="1" applyFill="1"/>
    <xf numFmtId="0" fontId="14" fillId="8" borderId="0" xfId="0" applyFont="1" applyFill="1"/>
    <xf numFmtId="0" fontId="14" fillId="8" borderId="0" xfId="0" applyFont="1" applyFill="1" applyAlignment="1">
      <alignment vertical="center"/>
    </xf>
    <xf numFmtId="0" fontId="3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26" fillId="0" borderId="5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/>
    </xf>
    <xf numFmtId="0" fontId="10" fillId="0" borderId="0" xfId="0" applyFont="1" applyAlignment="1">
      <alignment vertical="center" wrapText="1"/>
    </xf>
    <xf numFmtId="0" fontId="13" fillId="2" borderId="0" xfId="0" applyFont="1" applyFill="1" applyAlignment="1">
      <alignment wrapText="1"/>
    </xf>
    <xf numFmtId="0" fontId="14" fillId="0" borderId="0" xfId="0" applyFont="1" applyAlignment="1">
      <alignment wrapText="1"/>
    </xf>
    <xf numFmtId="0" fontId="10" fillId="8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7" fillId="0" borderId="42" xfId="0" applyFont="1" applyBorder="1" applyAlignment="1">
      <alignment horizontal="left" vertical="center" wrapText="1"/>
    </xf>
    <xf numFmtId="0" fontId="26" fillId="0" borderId="42" xfId="0" applyFont="1" applyBorder="1" applyAlignment="1">
      <alignment horizontal="left" vertical="center"/>
    </xf>
    <xf numFmtId="0" fontId="30" fillId="0" borderId="5" xfId="0" applyFont="1" applyBorder="1" applyAlignment="1">
      <alignment horizontal="left" vertical="center" wrapText="1" readingOrder="1"/>
    </xf>
    <xf numFmtId="9" fontId="31" fillId="0" borderId="5" xfId="0" applyNumberFormat="1" applyFont="1" applyBorder="1" applyAlignment="1">
      <alignment horizontal="center" vertical="center"/>
    </xf>
    <xf numFmtId="0" fontId="32" fillId="0" borderId="5" xfId="0" applyFont="1" applyBorder="1" applyAlignment="1">
      <alignment horizontal="left" vertical="center" wrapText="1"/>
    </xf>
    <xf numFmtId="0" fontId="29" fillId="0" borderId="41" xfId="0" applyFont="1" applyBorder="1" applyAlignment="1">
      <alignment horizontal="left" vertical="center"/>
    </xf>
    <xf numFmtId="0" fontId="32" fillId="0" borderId="42" xfId="0" applyFont="1" applyBorder="1" applyAlignment="1">
      <alignment horizontal="left" vertical="center" wrapText="1"/>
    </xf>
    <xf numFmtId="9" fontId="31" fillId="0" borderId="42" xfId="0" applyNumberFormat="1" applyFont="1" applyBorder="1" applyAlignment="1">
      <alignment horizontal="center" vertical="center"/>
    </xf>
    <xf numFmtId="0" fontId="13" fillId="4" borderId="37" xfId="0" applyFont="1" applyFill="1" applyBorder="1" applyAlignment="1">
      <alignment horizontal="left" vertical="center" wrapText="1"/>
    </xf>
    <xf numFmtId="0" fontId="13" fillId="4" borderId="11" xfId="0" applyFont="1" applyFill="1" applyBorder="1" applyAlignment="1">
      <alignment horizontal="left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3" fillId="4" borderId="38" xfId="0" applyFont="1" applyFill="1" applyBorder="1" applyAlignment="1">
      <alignment horizontal="center" vertical="center" wrapText="1"/>
    </xf>
    <xf numFmtId="0" fontId="27" fillId="0" borderId="40" xfId="0" applyFont="1" applyBorder="1" applyAlignment="1">
      <alignment horizontal="left" vertical="center" wrapText="1"/>
    </xf>
    <xf numFmtId="0" fontId="27" fillId="0" borderId="4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/>
    </xf>
    <xf numFmtId="0" fontId="33" fillId="11" borderId="0" xfId="0" applyFont="1" applyFill="1" applyAlignment="1">
      <alignment horizontal="center" vertical="center"/>
    </xf>
    <xf numFmtId="0" fontId="34" fillId="5" borderId="5" xfId="0" applyFont="1" applyFill="1" applyBorder="1" applyAlignment="1">
      <alignment horizontal="center" vertical="center" wrapText="1"/>
    </xf>
    <xf numFmtId="0" fontId="29" fillId="0" borderId="39" xfId="0" applyFont="1" applyBorder="1" applyAlignment="1">
      <alignment horizontal="left" vertical="center"/>
    </xf>
    <xf numFmtId="0" fontId="23" fillId="12" borderId="44" xfId="0" applyFont="1" applyFill="1" applyBorder="1" applyAlignment="1">
      <alignment horizontal="center" vertical="center"/>
    </xf>
    <xf numFmtId="0" fontId="23" fillId="12" borderId="35" xfId="0" applyFont="1" applyFill="1" applyBorder="1" applyAlignment="1">
      <alignment horizontal="center" vertical="center"/>
    </xf>
    <xf numFmtId="0" fontId="23" fillId="12" borderId="45" xfId="0" applyFont="1" applyFill="1" applyBorder="1" applyAlignment="1">
      <alignment horizontal="center" vertical="center"/>
    </xf>
    <xf numFmtId="0" fontId="29" fillId="0" borderId="39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22" fillId="6" borderId="13" xfId="0" applyFont="1" applyFill="1" applyBorder="1" applyAlignment="1">
      <alignment horizontal="center" vertical="center" textRotation="180"/>
    </xf>
    <xf numFmtId="0" fontId="22" fillId="6" borderId="14" xfId="0" applyFont="1" applyFill="1" applyBorder="1" applyAlignment="1">
      <alignment horizontal="center" vertical="center" textRotation="180"/>
    </xf>
    <xf numFmtId="0" fontId="22" fillId="6" borderId="15" xfId="0" applyFont="1" applyFill="1" applyBorder="1" applyAlignment="1">
      <alignment horizontal="center" vertical="center" textRotation="180"/>
    </xf>
    <xf numFmtId="0" fontId="22" fillId="6" borderId="12" xfId="0" applyFont="1" applyFill="1" applyBorder="1" applyAlignment="1">
      <alignment horizontal="center" vertical="center" textRotation="180"/>
    </xf>
    <xf numFmtId="0" fontId="22" fillId="6" borderId="16" xfId="0" applyFont="1" applyFill="1" applyBorder="1" applyAlignment="1">
      <alignment horizontal="center" vertical="center" textRotation="180"/>
    </xf>
    <xf numFmtId="0" fontId="22" fillId="6" borderId="17" xfId="0" applyFont="1" applyFill="1" applyBorder="1" applyAlignment="1">
      <alignment horizontal="center" vertical="center" textRotation="180"/>
    </xf>
    <xf numFmtId="0" fontId="4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" fillId="0" borderId="31" xfId="0" applyFont="1" applyBorder="1"/>
    <xf numFmtId="0" fontId="25" fillId="4" borderId="36" xfId="0" applyFont="1" applyFill="1" applyBorder="1" applyAlignment="1">
      <alignment horizontal="center" vertical="center" wrapText="1"/>
    </xf>
    <xf numFmtId="14" fontId="3" fillId="0" borderId="16" xfId="0" applyNumberFormat="1" applyFont="1" applyBorder="1" applyAlignment="1">
      <alignment horizontal="center" vertical="center"/>
    </xf>
    <xf numFmtId="14" fontId="3" fillId="0" borderId="26" xfId="0" applyNumberFormat="1" applyFont="1" applyBorder="1" applyAlignment="1">
      <alignment horizontal="center" vertical="center"/>
    </xf>
    <xf numFmtId="14" fontId="3" fillId="0" borderId="17" xfId="0" applyNumberFormat="1" applyFont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 textRotation="180"/>
    </xf>
    <xf numFmtId="0" fontId="4" fillId="0" borderId="3" xfId="0" applyFont="1" applyBorder="1" applyAlignment="1">
      <alignment horizontal="center" vertical="center"/>
    </xf>
    <xf numFmtId="0" fontId="22" fillId="10" borderId="13" xfId="0" applyFont="1" applyFill="1" applyBorder="1" applyAlignment="1">
      <alignment horizontal="center" vertical="center" textRotation="180"/>
    </xf>
    <xf numFmtId="0" fontId="22" fillId="10" borderId="14" xfId="0" applyFont="1" applyFill="1" applyBorder="1" applyAlignment="1">
      <alignment horizontal="center" vertical="center" textRotation="180"/>
    </xf>
    <xf numFmtId="0" fontId="22" fillId="10" borderId="15" xfId="0" applyFont="1" applyFill="1" applyBorder="1" applyAlignment="1">
      <alignment horizontal="center" vertical="center" textRotation="180"/>
    </xf>
    <xf numFmtId="0" fontId="22" fillId="10" borderId="12" xfId="0" applyFont="1" applyFill="1" applyBorder="1" applyAlignment="1">
      <alignment horizontal="center" vertical="center" textRotation="180"/>
    </xf>
    <xf numFmtId="0" fontId="22" fillId="10" borderId="16" xfId="0" applyFont="1" applyFill="1" applyBorder="1" applyAlignment="1">
      <alignment horizontal="center" vertical="center" textRotation="180"/>
    </xf>
    <xf numFmtId="0" fontId="22" fillId="10" borderId="17" xfId="0" applyFont="1" applyFill="1" applyBorder="1" applyAlignment="1">
      <alignment horizontal="center" vertical="center" textRotation="180"/>
    </xf>
    <xf numFmtId="0" fontId="14" fillId="0" borderId="3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7" borderId="5" xfId="0" applyFont="1" applyFill="1" applyBorder="1" applyAlignment="1">
      <alignment horizontal="center" vertical="center" textRotation="180"/>
    </xf>
    <xf numFmtId="0" fontId="14" fillId="8" borderId="0" xfId="0" applyFont="1" applyFill="1" applyAlignment="1">
      <alignment vertical="center"/>
    </xf>
    <xf numFmtId="0" fontId="10" fillId="8" borderId="0" xfId="0" applyFont="1" applyFill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center" vertical="center" textRotation="180" wrapText="1"/>
    </xf>
    <xf numFmtId="0" fontId="22" fillId="6" borderId="14" xfId="0" applyFont="1" applyFill="1" applyBorder="1" applyAlignment="1">
      <alignment horizontal="center" vertical="center" textRotation="180" wrapText="1"/>
    </xf>
    <xf numFmtId="0" fontId="22" fillId="6" borderId="15" xfId="0" applyFont="1" applyFill="1" applyBorder="1" applyAlignment="1">
      <alignment horizontal="center" vertical="center" textRotation="180" wrapText="1"/>
    </xf>
    <xf numFmtId="0" fontId="22" fillId="6" borderId="12" xfId="0" applyFont="1" applyFill="1" applyBorder="1" applyAlignment="1">
      <alignment horizontal="center" vertical="center" textRotation="180" wrapText="1"/>
    </xf>
    <xf numFmtId="0" fontId="22" fillId="6" borderId="16" xfId="0" applyFont="1" applyFill="1" applyBorder="1" applyAlignment="1">
      <alignment horizontal="center" vertical="center" textRotation="180" wrapText="1"/>
    </xf>
    <xf numFmtId="0" fontId="22" fillId="6" borderId="17" xfId="0" applyFont="1" applyFill="1" applyBorder="1" applyAlignment="1">
      <alignment horizontal="center" vertical="center" textRotation="180" wrapText="1"/>
    </xf>
    <xf numFmtId="0" fontId="22" fillId="10" borderId="13" xfId="0" applyFont="1" applyFill="1" applyBorder="1" applyAlignment="1">
      <alignment horizontal="center" vertical="center" textRotation="180" wrapText="1"/>
    </xf>
    <xf numFmtId="0" fontId="22" fillId="10" borderId="14" xfId="0" applyFont="1" applyFill="1" applyBorder="1" applyAlignment="1">
      <alignment horizontal="center" vertical="center" textRotation="180" wrapText="1"/>
    </xf>
    <xf numFmtId="0" fontId="22" fillId="10" borderId="15" xfId="0" applyFont="1" applyFill="1" applyBorder="1" applyAlignment="1">
      <alignment horizontal="center" vertical="center" textRotation="180" wrapText="1"/>
    </xf>
    <xf numFmtId="0" fontId="22" fillId="10" borderId="12" xfId="0" applyFont="1" applyFill="1" applyBorder="1" applyAlignment="1">
      <alignment horizontal="center" vertical="center" textRotation="180" wrapText="1"/>
    </xf>
    <xf numFmtId="0" fontId="22" fillId="10" borderId="16" xfId="0" applyFont="1" applyFill="1" applyBorder="1" applyAlignment="1">
      <alignment horizontal="center" vertical="center" textRotation="180" wrapText="1"/>
    </xf>
    <xf numFmtId="0" fontId="22" fillId="10" borderId="17" xfId="0" applyFont="1" applyFill="1" applyBorder="1" applyAlignment="1">
      <alignment horizontal="center" vertical="center" textRotation="180" wrapText="1"/>
    </xf>
    <xf numFmtId="0" fontId="13" fillId="7" borderId="5" xfId="0" applyFont="1" applyFill="1" applyBorder="1" applyAlignment="1">
      <alignment horizontal="center" vertical="center" textRotation="180" wrapText="1"/>
    </xf>
    <xf numFmtId="0" fontId="22" fillId="6" borderId="5" xfId="0" applyFont="1" applyFill="1" applyBorder="1" applyAlignment="1">
      <alignment horizontal="center" vertical="center" textRotation="180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46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24" fillId="9" borderId="0" xfId="0" applyFont="1" applyFill="1" applyAlignment="1">
      <alignment horizontal="center" vertical="center" wrapText="1"/>
    </xf>
    <xf numFmtId="0" fontId="3" fillId="8" borderId="6" xfId="0" applyFont="1" applyFill="1" applyBorder="1" applyAlignment="1">
      <alignment horizontal="left" vertical="center" wrapText="1"/>
    </xf>
    <xf numFmtId="0" fontId="3" fillId="8" borderId="7" xfId="0" applyFont="1" applyFill="1" applyBorder="1" applyAlignment="1">
      <alignment horizontal="left" vertical="center" wrapText="1"/>
    </xf>
    <xf numFmtId="0" fontId="10" fillId="13" borderId="0" xfId="0" applyFont="1" applyFill="1" applyAlignment="1" applyProtection="1">
      <alignment vertical="center"/>
      <protection locked="1"/>
    </xf>
    <xf numFmtId="0" fontId="22" fillId="13" borderId="13" xfId="0" applyFont="1" applyFill="1" applyBorder="1" applyAlignment="1" applyProtection="1">
      <alignment horizontal="center" vertical="center" textRotation="180"/>
      <protection locked="1"/>
    </xf>
    <xf numFmtId="0" fontId="22" fillId="13" borderId="14" xfId="0" applyFont="1" applyFill="1" applyBorder="1" applyAlignment="1" applyProtection="1">
      <alignment horizontal="center" vertical="center" textRotation="180"/>
      <protection locked="1"/>
    </xf>
    <xf numFmtId="0" fontId="13" fillId="13" borderId="4" xfId="0" applyFont="1" applyFill="1" applyBorder="1" applyAlignment="1" applyProtection="1">
      <alignment vertical="center" wrapText="1"/>
      <protection locked="1"/>
    </xf>
    <xf numFmtId="0" fontId="4" fillId="13" borderId="2" xfId="0" applyFont="1" applyFill="1" applyBorder="1" applyAlignment="1" applyProtection="1">
      <alignment horizontal="center" vertical="center"/>
      <protection locked="1"/>
    </xf>
    <xf numFmtId="0" fontId="4" fillId="13" borderId="3" xfId="0" applyFont="1" applyBorder="1" applyAlignment="1" applyFill="1" applyProtection="1">
      <alignment vertical="center"/>
      <protection locked="1"/>
    </xf>
    <xf numFmtId="0" fontId="4" fillId="13" borderId="4" xfId="0" applyFont="1" applyBorder="1" applyAlignment="1" applyFill="1" applyProtection="1">
      <alignment vertical="center"/>
      <protection locked="1"/>
    </xf>
    <xf numFmtId="0" fontId="3" fillId="13" borderId="0" xfId="0" applyFont="1" applyAlignment="1" applyFill="1" applyProtection="1">
      <alignment horizontal="center" vertical="center"/>
      <protection locked="1"/>
    </xf>
    <xf numFmtId="0" fontId="22" fillId="13" borderId="15" xfId="0" applyFont="1" applyFill="1" applyBorder="1" applyAlignment="1" applyProtection="1">
      <alignment horizontal="center" vertical="center" textRotation="180"/>
      <protection locked="1"/>
    </xf>
    <xf numFmtId="0" fontId="22" fillId="13" borderId="12" xfId="0" applyFont="1" applyFill="1" applyBorder="1" applyAlignment="1" applyProtection="1">
      <alignment horizontal="center" vertical="center" textRotation="180"/>
      <protection locked="1"/>
    </xf>
    <xf numFmtId="0" fontId="14" fillId="13" borderId="4" xfId="0" applyFont="1" applyBorder="1" applyAlignment="1" applyFill="1" applyProtection="1">
      <alignment vertical="center" wrapText="1"/>
      <protection locked="1"/>
    </xf>
    <xf numFmtId="0" fontId="4" fillId="13" borderId="2" xfId="0" applyFont="1" applyBorder="1" applyAlignment="1" applyFill="1" applyProtection="1">
      <alignment horizontal="center" vertical="center"/>
      <protection locked="1"/>
    </xf>
    <xf numFmtId="0" fontId="4" fillId="13" borderId="0" xfId="0" applyFont="1" applyAlignment="1" applyFill="1" applyProtection="1">
      <alignment horizontal="center" vertical="center"/>
      <protection locked="1"/>
    </xf>
    <xf numFmtId="0" fontId="14" fillId="13" borderId="10" xfId="0" applyFont="1" applyBorder="1" applyAlignment="1" applyFill="1" applyProtection="1">
      <alignment vertical="center"/>
      <protection locked="1"/>
    </xf>
    <xf numFmtId="0" fontId="14" fillId="13" borderId="10" xfId="0" applyFont="1" applyBorder="1" applyAlignment="1" applyFill="1" applyProtection="1">
      <alignment vertical="center" wrapText="1"/>
      <protection locked="1"/>
    </xf>
    <xf numFmtId="0" fontId="22" fillId="13" borderId="16" xfId="0" applyFont="1" applyFill="1" applyBorder="1" applyAlignment="1" applyProtection="1">
      <alignment horizontal="center" vertical="center" textRotation="180"/>
      <protection locked="1"/>
    </xf>
    <xf numFmtId="0" fontId="22" fillId="13" borderId="17" xfId="0" applyFont="1" applyFill="1" applyBorder="1" applyAlignment="1" applyProtection="1">
      <alignment horizontal="center" vertical="center" textRotation="180"/>
      <protection locked="1"/>
    </xf>
    <xf numFmtId="0" fontId="22" fillId="13" borderId="13" xfId="0" applyFont="1" applyFill="1" applyBorder="1" applyAlignment="1" applyProtection="1">
      <alignment horizontal="center" vertical="center" textRotation="180"/>
      <protection locked="1"/>
    </xf>
    <xf numFmtId="0" fontId="22" fillId="13" borderId="14" xfId="0" applyFont="1" applyFill="1" applyBorder="1" applyAlignment="1" applyProtection="1">
      <alignment horizontal="center" vertical="center" textRotation="180"/>
      <protection locked="1"/>
    </xf>
    <xf numFmtId="0" fontId="22" fillId="13" borderId="15" xfId="0" applyFont="1" applyFill="1" applyBorder="1" applyAlignment="1" applyProtection="1">
      <alignment horizontal="center" vertical="center" textRotation="180"/>
      <protection locked="1"/>
    </xf>
    <xf numFmtId="0" fontId="22" fillId="13" borderId="12" xfId="0" applyFont="1" applyFill="1" applyBorder="1" applyAlignment="1" applyProtection="1">
      <alignment horizontal="center" vertical="center" textRotation="180"/>
      <protection locked="1"/>
    </xf>
    <xf numFmtId="0" fontId="22" fillId="13" borderId="16" xfId="0" applyFont="1" applyFill="1" applyBorder="1" applyAlignment="1" applyProtection="1">
      <alignment horizontal="center" vertical="center" textRotation="180"/>
      <protection locked="1"/>
    </xf>
    <xf numFmtId="0" fontId="22" fillId="13" borderId="17" xfId="0" applyFont="1" applyFill="1" applyBorder="1" applyAlignment="1" applyProtection="1">
      <alignment horizontal="center" vertical="center" textRotation="180"/>
      <protection locked="1"/>
    </xf>
    <xf numFmtId="0" fontId="13" fillId="13" borderId="5" xfId="0" applyFont="1" applyFill="1" applyBorder="1" applyAlignment="1" applyProtection="1">
      <alignment horizontal="center" vertical="center" textRotation="180"/>
      <protection locked="1"/>
    </xf>
    <xf numFmtId="0" fontId="4" fillId="0" borderId="2" xfId="0" applyFont="1" applyBorder="1" applyAlignment="1" applyProtection="1">
      <alignment horizontal="center" vertical="center"/>
      <protection locked="0"/>
    </xf>
    <xf numFmtId="0" fontId="22" fillId="13" borderId="13" xfId="0" applyFont="1" applyFill="1" applyBorder="1" applyAlignment="1" applyProtection="1">
      <alignment horizontal="center" vertical="center" textRotation="180" wrapText="1"/>
      <protection locked="1"/>
    </xf>
    <xf numFmtId="0" fontId="22" fillId="13" borderId="14" xfId="0" applyFont="1" applyFill="1" applyBorder="1" applyAlignment="1" applyProtection="1">
      <alignment horizontal="center" vertical="center" textRotation="180" wrapText="1"/>
      <protection locked="1"/>
    </xf>
    <xf numFmtId="0" fontId="22" fillId="13" borderId="15" xfId="0" applyFont="1" applyFill="1" applyBorder="1" applyAlignment="1" applyProtection="1">
      <alignment horizontal="center" vertical="center" textRotation="180" wrapText="1"/>
      <protection locked="1"/>
    </xf>
    <xf numFmtId="0" fontId="22" fillId="13" borderId="12" xfId="0" applyFont="1" applyFill="1" applyBorder="1" applyAlignment="1" applyProtection="1">
      <alignment horizontal="center" vertical="center" textRotation="180" wrapText="1"/>
      <protection locked="1"/>
    </xf>
    <xf numFmtId="0" fontId="4" fillId="13" borderId="1" xfId="0" applyFont="1" applyBorder="1" applyFill="1" applyProtection="1">
      <protection locked="1"/>
    </xf>
    <xf numFmtId="0" fontId="4" fillId="13" borderId="1" xfId="0" applyFont="1" applyBorder="1" applyAlignment="1" applyFill="1" applyProtection="1">
      <alignment wrapText="1"/>
      <protection locked="1"/>
    </xf>
    <xf numFmtId="0" fontId="22" fillId="13" borderId="16" xfId="0" applyFont="1" applyFill="1" applyBorder="1" applyAlignment="1" applyProtection="1">
      <alignment horizontal="center" vertical="center" textRotation="180" wrapText="1"/>
      <protection locked="1"/>
    </xf>
    <xf numFmtId="0" fontId="22" fillId="13" borderId="17" xfId="0" applyFont="1" applyFill="1" applyBorder="1" applyAlignment="1" applyProtection="1">
      <alignment horizontal="center" vertical="center" textRotation="180" wrapText="1"/>
      <protection locked="1"/>
    </xf>
    <xf numFmtId="0" fontId="22" fillId="13" borderId="13" xfId="0" applyFont="1" applyFill="1" applyBorder="1" applyAlignment="1" applyProtection="1">
      <alignment horizontal="center" vertical="center" textRotation="180" wrapText="1"/>
      <protection locked="1"/>
    </xf>
    <xf numFmtId="0" fontId="22" fillId="13" borderId="14" xfId="0" applyFont="1" applyFill="1" applyBorder="1" applyAlignment="1" applyProtection="1">
      <alignment horizontal="center" vertical="center" textRotation="180" wrapText="1"/>
      <protection locked="1"/>
    </xf>
    <xf numFmtId="0" fontId="22" fillId="13" borderId="15" xfId="0" applyFont="1" applyFill="1" applyBorder="1" applyAlignment="1" applyProtection="1">
      <alignment horizontal="center" vertical="center" textRotation="180" wrapText="1"/>
      <protection locked="1"/>
    </xf>
    <xf numFmtId="0" fontId="22" fillId="13" borderId="12" xfId="0" applyFont="1" applyFill="1" applyBorder="1" applyAlignment="1" applyProtection="1">
      <alignment horizontal="center" vertical="center" textRotation="180" wrapText="1"/>
      <protection locked="1"/>
    </xf>
    <xf numFmtId="0" fontId="22" fillId="13" borderId="16" xfId="0" applyFont="1" applyFill="1" applyBorder="1" applyAlignment="1" applyProtection="1">
      <alignment horizontal="center" vertical="center" textRotation="180" wrapText="1"/>
      <protection locked="1"/>
    </xf>
    <xf numFmtId="0" fontId="22" fillId="13" borderId="17" xfId="0" applyFont="1" applyFill="1" applyBorder="1" applyAlignment="1" applyProtection="1">
      <alignment horizontal="center" vertical="center" textRotation="180" wrapText="1"/>
      <protection locked="1"/>
    </xf>
    <xf numFmtId="0" fontId="13" fillId="13" borderId="5" xfId="0" applyFont="1" applyFill="1" applyBorder="1" applyAlignment="1" applyProtection="1">
      <alignment horizontal="center" vertical="center" textRotation="180" wrapText="1"/>
      <protection locked="1"/>
    </xf>
    <xf numFmtId="0" fontId="10" fillId="13" borderId="0" xfId="0" applyFont="1" applyFill="1" applyAlignment="1" applyProtection="1">
      <alignment vertical="center" wrapText="1"/>
      <protection locked="1"/>
    </xf>
    <xf numFmtId="0" fontId="4" fillId="13" borderId="2" xfId="0" applyFont="1" applyBorder="1" applyAlignment="1" applyFill="1" applyProtection="1">
      <alignment horizontal="center" vertical="center" wrapText="1"/>
      <protection locked="1"/>
    </xf>
    <xf numFmtId="0" fontId="4" fillId="13" borderId="3" xfId="0" applyFont="1" applyBorder="1" applyAlignment="1" applyFill="1" applyProtection="1">
      <alignment vertical="center" wrapText="1"/>
      <protection locked="1"/>
    </xf>
    <xf numFmtId="0" fontId="4" fillId="13" borderId="4" xfId="0" applyFont="1" applyBorder="1" applyAlignment="1" applyFill="1" applyProtection="1">
      <alignment vertical="center" wrapText="1"/>
      <protection locked="1"/>
    </xf>
    <xf numFmtId="0" fontId="4" fillId="13" borderId="0" xfId="0" applyFont="1" applyAlignment="1" applyFill="1" applyProtection="1">
      <alignment horizontal="center" vertical="center" wrapText="1"/>
      <protection locked="1"/>
    </xf>
  </cellXfs>
  <cellStyles count="3">
    <cellStyle name="Normal" xfId="0" builtinId="0"/>
    <cellStyle name="Normal 2" xfId="1" xr:uid="{092510CB-B847-844B-B15C-C5E7847EFF33}"/>
    <cellStyle name="Normal 3" xfId="2" xr:uid="{C0FFC866-CA46-844A-9FBE-ACEB07952C1C}"/>
  </cellStyles>
  <dxfs count="162"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C6E0B4"/>
      <color rgb="FFFF40FF"/>
      <color rgb="FFF1A5A0"/>
      <color rgb="FF00B100"/>
      <color rgb="FF2048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034A-EA2B-495E-A914-DFCB1CF1FFD6}">
  <sheetPr>
    <pageSetUpPr fitToPage="1"/>
  </sheetPr>
  <dimension ref="A2:I21"/>
  <sheetViews>
    <sheetView showGridLines="0" zoomScale="115" zoomScaleNormal="115" workbookViewId="0">
      <selection activeCell="A3" sqref="A3"/>
    </sheetView>
  </sheetViews>
  <sheetFormatPr defaultColWidth="8.77734375" defaultRowHeight="13.2" x14ac:dyDescent="0.25"/>
  <cols>
    <col min="1" max="1" width="22.44140625" bestFit="1" customWidth="1"/>
    <col min="2" max="2" width="68.33203125" customWidth="1"/>
    <col min="3" max="3" width="22.6640625" customWidth="1"/>
    <col min="4" max="4" width="21.6640625" bestFit="1" customWidth="1"/>
    <col min="5" max="5" width="38" customWidth="1"/>
    <col min="6" max="6" width="18.33203125" style="6" customWidth="1"/>
    <col min="7" max="8" width="14.77734375" bestFit="1" customWidth="1"/>
  </cols>
  <sheetData>
    <row r="2" spans="1:8" s="5" customFormat="1" ht="58.5" customHeight="1" x14ac:dyDescent="0.25">
      <c r="A2" s="7" t="s">
        <v>27</v>
      </c>
      <c r="B2" s="7" t="s">
        <v>172</v>
      </c>
      <c r="C2" s="8" t="s">
        <v>178</v>
      </c>
      <c r="D2" s="8" t="s">
        <v>177</v>
      </c>
      <c r="E2" s="72" t="s">
        <v>176</v>
      </c>
      <c r="F2" s="8" t="s">
        <v>175</v>
      </c>
      <c r="G2" s="8" t="s">
        <v>173</v>
      </c>
      <c r="H2" s="8" t="s">
        <v>174</v>
      </c>
    </row>
    <row r="3" spans="1:8" s="17" customFormat="1" ht="34.049999999999997" customHeight="1" x14ac:dyDescent="0.25">
      <c r="A3" s="31"/>
      <c r="B3" s="31"/>
      <c r="C3" s="70"/>
      <c r="D3" s="31"/>
      <c r="E3" s="33"/>
      <c r="F3" s="32"/>
      <c r="G3" s="16" cm="1">
        <f t="array" ref="G3:G4">'Scorecard（English）'!I3:I4</f>
      </c>
      <c r="H3" s="16" cm="1">
        <f t="array" ref="H3:H4">'Scorecard（English）'!O3:O4</f>
      </c>
    </row>
    <row r="4" spans="1:8" ht="19.05" hidden="1" customHeight="1" x14ac:dyDescent="0.25">
      <c r="G4">
        <v>0</v>
      </c>
      <c r="H4">
        <v>0</v>
      </c>
    </row>
    <row r="6" spans="1:8" ht="13.8" thickBot="1" x14ac:dyDescent="0.3"/>
    <row r="7" spans="1:8" ht="33" customHeight="1" x14ac:dyDescent="0.25">
      <c r="A7" s="74" t="s">
        <v>166</v>
      </c>
      <c r="B7" s="75"/>
      <c r="C7" s="75"/>
      <c r="D7" s="75"/>
      <c r="E7" s="75"/>
      <c r="F7" s="76"/>
    </row>
    <row r="8" spans="1:8" ht="69.599999999999994" x14ac:dyDescent="0.25">
      <c r="A8" s="63" t="s">
        <v>84</v>
      </c>
      <c r="B8" s="64" t="s">
        <v>167</v>
      </c>
      <c r="C8" s="65" t="s">
        <v>169</v>
      </c>
      <c r="D8" s="65" t="s">
        <v>156</v>
      </c>
      <c r="E8" s="65" t="s">
        <v>155</v>
      </c>
      <c r="F8" s="67"/>
    </row>
    <row r="9" spans="1:8" s="17" customFormat="1" ht="18" x14ac:dyDescent="0.25">
      <c r="A9" s="73" t="s">
        <v>29</v>
      </c>
      <c r="B9" s="57" t="s">
        <v>85</v>
      </c>
      <c r="C9" s="58">
        <v>0</v>
      </c>
      <c r="D9" s="47"/>
      <c r="E9" s="48"/>
      <c r="F9" s="68"/>
    </row>
    <row r="10" spans="1:8" s="17" customFormat="1" ht="36" x14ac:dyDescent="0.25">
      <c r="A10" s="73"/>
      <c r="B10" s="57" t="s">
        <v>186</v>
      </c>
      <c r="C10" s="58">
        <v>0</v>
      </c>
      <c r="D10" s="47"/>
      <c r="E10" s="48"/>
      <c r="F10" s="68"/>
    </row>
    <row r="11" spans="1:8" s="17" customFormat="1" ht="18" x14ac:dyDescent="0.25">
      <c r="A11" s="73"/>
      <c r="B11" s="57" t="s">
        <v>86</v>
      </c>
      <c r="C11" s="58">
        <v>0</v>
      </c>
      <c r="D11" s="47"/>
      <c r="E11" s="48"/>
      <c r="F11" s="68"/>
    </row>
    <row r="12" spans="1:8" s="17" customFormat="1" ht="18" x14ac:dyDescent="0.25">
      <c r="A12" s="73" t="s">
        <v>30</v>
      </c>
      <c r="B12" s="57" t="s">
        <v>87</v>
      </c>
      <c r="C12" s="58">
        <v>0</v>
      </c>
      <c r="D12" s="47"/>
      <c r="E12" s="48"/>
      <c r="F12" s="68"/>
    </row>
    <row r="13" spans="1:8" s="17" customFormat="1" ht="18" x14ac:dyDescent="0.25">
      <c r="A13" s="73"/>
      <c r="B13" s="57" t="s">
        <v>185</v>
      </c>
      <c r="C13" s="58">
        <v>0</v>
      </c>
      <c r="D13" s="47"/>
      <c r="E13" s="48"/>
      <c r="F13" s="68"/>
    </row>
    <row r="14" spans="1:8" s="17" customFormat="1" ht="36" x14ac:dyDescent="0.25">
      <c r="A14" s="73"/>
      <c r="B14" s="57" t="s">
        <v>184</v>
      </c>
      <c r="C14" s="58">
        <v>0</v>
      </c>
      <c r="D14" s="47"/>
      <c r="E14" s="48"/>
      <c r="F14" s="68"/>
    </row>
    <row r="15" spans="1:8" s="17" customFormat="1" ht="36" x14ac:dyDescent="0.25">
      <c r="A15" s="77" t="s">
        <v>40</v>
      </c>
      <c r="B15" s="57" t="s">
        <v>183</v>
      </c>
      <c r="C15" s="58">
        <v>0</v>
      </c>
      <c r="D15" s="47"/>
      <c r="E15" s="48"/>
      <c r="F15" s="68"/>
    </row>
    <row r="16" spans="1:8" s="17" customFormat="1" ht="36" x14ac:dyDescent="0.25">
      <c r="A16" s="77"/>
      <c r="B16" s="57" t="s">
        <v>182</v>
      </c>
      <c r="C16" s="58">
        <v>0</v>
      </c>
      <c r="D16" s="49"/>
      <c r="E16" s="48"/>
      <c r="F16" s="68"/>
    </row>
    <row r="17" spans="1:9" s="17" customFormat="1" ht="18" x14ac:dyDescent="0.25">
      <c r="A17" s="77" t="s">
        <v>31</v>
      </c>
      <c r="B17" s="57" t="s">
        <v>181</v>
      </c>
      <c r="C17" s="58">
        <v>0</v>
      </c>
      <c r="D17" s="49"/>
      <c r="E17" s="48"/>
      <c r="F17" s="68"/>
    </row>
    <row r="18" spans="1:9" s="17" customFormat="1" ht="36" x14ac:dyDescent="0.25">
      <c r="A18" s="77"/>
      <c r="B18" s="57" t="s">
        <v>180</v>
      </c>
      <c r="C18" s="58">
        <v>0</v>
      </c>
      <c r="D18" s="49"/>
      <c r="E18" s="48"/>
      <c r="F18" s="68"/>
    </row>
    <row r="19" spans="1:9" s="17" customFormat="1" ht="129" customHeight="1" x14ac:dyDescent="0.25">
      <c r="A19" s="73" t="s">
        <v>32</v>
      </c>
      <c r="B19" s="59" t="s">
        <v>89</v>
      </c>
      <c r="C19" s="58">
        <v>0</v>
      </c>
      <c r="D19" s="49"/>
      <c r="E19" s="48"/>
      <c r="F19" s="68"/>
      <c r="I19" s="66"/>
    </row>
    <row r="20" spans="1:9" s="17" customFormat="1" ht="106.95" customHeight="1" x14ac:dyDescent="0.25">
      <c r="A20" s="73"/>
      <c r="B20" s="57" t="s">
        <v>88</v>
      </c>
      <c r="C20" s="58">
        <v>0</v>
      </c>
      <c r="D20" s="49"/>
      <c r="E20" s="48"/>
      <c r="F20" s="68"/>
      <c r="I20" s="66"/>
    </row>
    <row r="21" spans="1:9" s="17" customFormat="1" ht="73.95" customHeight="1" thickBot="1" x14ac:dyDescent="0.3">
      <c r="A21" s="60" t="s">
        <v>33</v>
      </c>
      <c r="B21" s="61" t="s">
        <v>179</v>
      </c>
      <c r="C21" s="62">
        <v>0</v>
      </c>
      <c r="D21" s="56"/>
      <c r="E21" s="55"/>
      <c r="F21" s="69"/>
    </row>
  </sheetData>
  <mergeCells count="6">
    <mergeCell ref="A12:A14"/>
    <mergeCell ref="A9:A11"/>
    <mergeCell ref="A7:F7"/>
    <mergeCell ref="A19:A20"/>
    <mergeCell ref="A15:A16"/>
    <mergeCell ref="A17:A18"/>
  </mergeCells>
  <phoneticPr fontId="11" type="noConversion"/>
  <dataValidations count="4">
    <dataValidation type="list" allowBlank="1" showInputMessage="1" showErrorMessage="1" sqref="F22:F1048576 F3:F6" xr:uid="{883135A0-CC96-437F-A83C-FC1AF967CFE7}">
      <formula1>"Prospect, Qualified, Tech Validation, Business Validation, Commited, Launched, Lost"</formula1>
    </dataValidation>
    <dataValidation type="list" allowBlank="1" showInputMessage="1" showErrorMessage="1" sqref="D22:D1048576 D3" xr:uid="{52049307-2A90-43ED-ACA2-70B7F826D3E3}">
      <formula1>"GenAI, Migration, Modernization, Migration and Modernization, Others"</formula1>
    </dataValidation>
    <dataValidation type="list" allowBlank="1" sqref="C9:C21" xr:uid="{01DE0AA0-562B-FA49-958F-5D344405B6BF}">
      <formula1>"10%, 20%, 30%, 40%, 50%, 60%, 70%, 80%, 90%, 100%"</formula1>
    </dataValidation>
    <dataValidation type="list" allowBlank="1" showInputMessage="1" showErrorMessage="1" sqref="C3" xr:uid="{E90A1653-9E02-794D-ACD9-8F9D7BAA5B54}">
      <formula1>"HK, China"</formula1>
    </dataValidation>
  </dataValidations>
  <pageMargins left="0.7" right="0.7" top="0.75" bottom="0.75" header="0.3" footer="0.3"/>
  <pageSetup paperSize="9" scale="5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1F8D-8ED1-7147-9E57-11835475B4A3}">
  <sheetPr>
    <outlinePr summaryBelow="0" summaryRight="0"/>
    <pageSetUpPr fitToPage="1"/>
  </sheetPr>
  <dimension ref="A1:CO1007"/>
  <sheetViews>
    <sheetView zoomScale="116" zoomScaleNormal="100" workbookViewId="0">
      <pane xSplit="4" ySplit="5" topLeftCell="R6" activePane="bottomRight" state="frozen"/>
      <selection pane="topRight" activeCell="C1" sqref="C1"/>
      <selection pane="bottomLeft" activeCell="A5" sqref="A5"/>
      <selection pane="bottomRight" activeCell="Q6" sqref="Q6:U6"/>
    </sheetView>
  </sheetViews>
  <sheetFormatPr defaultColWidth="14.44140625" defaultRowHeight="15" customHeight="1" x14ac:dyDescent="0.35"/>
  <cols>
    <col min="1" max="1" width="2.33203125" style="3" customWidth="1"/>
    <col min="2" max="2" width="3.77734375" style="3" customWidth="1"/>
    <col min="3" max="3" width="4.21875" style="3" customWidth="1"/>
    <col min="4" max="4" width="73.6640625" style="4" customWidth="1"/>
    <col min="5" max="5" width="11.33203125" customWidth="1"/>
    <col min="6" max="6" width="13.44140625" customWidth="1"/>
    <col min="7" max="7" width="11.21875" customWidth="1"/>
    <col min="8" max="8" width="11.44140625" customWidth="1"/>
    <col min="9" max="9" width="15.33203125" customWidth="1"/>
    <col min="10" max="10" width="12.33203125" style="6" hidden="1" customWidth="1"/>
    <col min="11" max="11" width="11.33203125" customWidth="1"/>
    <col min="12" max="12" width="12.44140625" customWidth="1"/>
    <col min="13" max="13" width="11.21875" customWidth="1"/>
    <col min="14" max="14" width="11.44140625" customWidth="1"/>
    <col min="15" max="15" width="15.33203125" customWidth="1"/>
    <col min="16" max="16" width="14.21875" style="6" hidden="1" customWidth="1"/>
    <col min="17" max="17" width="27.21875" style="3" customWidth="1"/>
    <col min="18" max="18" width="29.6640625" style="4" customWidth="1"/>
    <col min="19" max="19" width="26.6640625" style="4" customWidth="1"/>
    <col min="20" max="20" width="18.77734375" style="4" customWidth="1"/>
    <col min="21" max="21" width="18.33203125" style="4" customWidth="1"/>
    <col min="22" max="16384" width="14.44140625" style="3"/>
  </cols>
  <sheetData>
    <row r="1" spans="1:93" s="37" customFormat="1" ht="15" customHeight="1" thickBot="1" x14ac:dyDescent="0.4">
      <c r="E1" s="34"/>
      <c r="F1" s="34"/>
      <c r="G1" s="34"/>
      <c r="H1" s="34"/>
      <c r="I1" s="34"/>
      <c r="J1" s="39"/>
      <c r="K1" s="34"/>
      <c r="L1" s="34"/>
      <c r="M1" s="34"/>
      <c r="N1" s="34"/>
      <c r="O1" s="34"/>
      <c r="P1" s="39"/>
      <c r="R1" s="40"/>
      <c r="S1" s="40"/>
      <c r="T1" s="40"/>
      <c r="U1" s="40"/>
    </row>
    <row r="2" spans="1:93" ht="43.05" customHeight="1" x14ac:dyDescent="0.35">
      <c r="A2" s="37"/>
      <c r="B2" s="90" t="s">
        <v>117</v>
      </c>
      <c r="C2" s="91"/>
      <c r="D2" s="92"/>
      <c r="E2" s="99" t="s">
        <v>118</v>
      </c>
      <c r="F2" s="100"/>
      <c r="G2" s="100"/>
      <c r="H2" s="100"/>
      <c r="I2" s="101"/>
      <c r="J2" s="30"/>
      <c r="K2" s="102" t="s">
        <v>119</v>
      </c>
      <c r="L2" s="103"/>
      <c r="M2" s="103"/>
      <c r="N2" s="103"/>
      <c r="O2" s="104"/>
      <c r="Q2" s="37"/>
      <c r="R2" s="40"/>
      <c r="S2" s="40"/>
      <c r="T2" s="40"/>
      <c r="U2" s="40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</row>
    <row r="3" spans="1:93" ht="56.55" customHeight="1" thickBot="1" x14ac:dyDescent="0.45">
      <c r="A3" s="37"/>
      <c r="B3" s="93"/>
      <c r="C3" s="94"/>
      <c r="D3" s="95"/>
      <c r="E3" s="28" t="s">
        <v>104</v>
      </c>
      <c r="F3" s="9" t="s">
        <v>95</v>
      </c>
      <c r="G3" s="9" t="s">
        <v>96</v>
      </c>
      <c r="H3" s="9" t="s">
        <v>97</v>
      </c>
      <c r="I3" s="105">
        <f>SUM(E6,E17,E27,E32,E38)</f>
      </c>
      <c r="K3" s="28" t="s">
        <v>104</v>
      </c>
      <c r="L3" s="9" t="s">
        <v>106</v>
      </c>
      <c r="M3" s="9" t="s">
        <v>96</v>
      </c>
      <c r="N3" s="9" t="s">
        <v>97</v>
      </c>
      <c r="O3" s="105">
        <f>SUM(K6,K17,K27,K32,K38)</f>
      </c>
      <c r="Q3" s="41"/>
      <c r="R3" s="41"/>
      <c r="S3" s="41"/>
      <c r="T3" s="41"/>
      <c r="U3" s="41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</row>
    <row r="4" spans="1:93" ht="56.55" customHeight="1" thickTop="1" thickBot="1" x14ac:dyDescent="0.55000000000000004">
      <c r="A4" s="37"/>
      <c r="B4" s="96"/>
      <c r="C4" s="97"/>
      <c r="D4" s="98"/>
      <c r="E4" s="29" t="s">
        <v>35</v>
      </c>
      <c r="F4" s="26" t="s">
        <v>78</v>
      </c>
      <c r="G4" s="26" t="s">
        <v>99</v>
      </c>
      <c r="H4" s="26" t="s">
        <v>98</v>
      </c>
      <c r="I4" s="106"/>
      <c r="J4" s="27"/>
      <c r="K4" s="29" t="s">
        <v>35</v>
      </c>
      <c r="L4" s="26" t="s">
        <v>78</v>
      </c>
      <c r="M4" s="26" t="s">
        <v>99</v>
      </c>
      <c r="N4" s="26" t="s">
        <v>98</v>
      </c>
      <c r="O4" s="106"/>
      <c r="Q4" s="107" t="s">
        <v>83</v>
      </c>
      <c r="R4" s="107"/>
      <c r="S4" s="107"/>
      <c r="T4" s="107"/>
      <c r="U4" s="107"/>
      <c r="V4" s="37"/>
      <c r="W4" s="42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</row>
    <row r="5" spans="1:93" s="13" customFormat="1" ht="28.05" customHeight="1" x14ac:dyDescent="0.4">
      <c r="A5" s="38"/>
      <c r="C5" s="22"/>
      <c r="D5" s="10"/>
      <c r="E5" s="108"/>
      <c r="F5" s="109"/>
      <c r="G5" s="109"/>
      <c r="H5" s="109"/>
      <c r="I5" s="110"/>
      <c r="J5" s="20"/>
      <c r="K5" s="108"/>
      <c r="L5" s="109"/>
      <c r="M5" s="109"/>
      <c r="N5" s="109"/>
      <c r="O5" s="110"/>
      <c r="P5" s="20"/>
      <c r="Q5" s="11" t="s">
        <v>149</v>
      </c>
      <c r="R5" s="12" t="s">
        <v>150</v>
      </c>
      <c r="S5" s="12" t="s">
        <v>151</v>
      </c>
      <c r="T5" s="12" t="s">
        <v>3</v>
      </c>
      <c r="U5" s="12" t="s">
        <v>152</v>
      </c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</row>
    <row r="6" spans="1:93" s="13" customFormat="1" ht="19.05" customHeight="1" x14ac:dyDescent="0.25">
      <c r="A6" s="38"/>
      <c r="B6" s="111" t="s">
        <v>128</v>
      </c>
      <c r="C6" s="111"/>
      <c r="D6" s="24" t="s">
        <v>101</v>
      </c>
      <c r="E6" s="86">
        <f>SUM(J7:J9)</f>
      </c>
      <c r="F6" s="87"/>
      <c r="G6" s="87"/>
      <c r="H6" s="87"/>
      <c r="I6" s="88"/>
      <c r="J6" s="20"/>
      <c r="K6" s="86">
        <f>SUM(P7:P9)</f>
      </c>
      <c r="L6" s="87"/>
      <c r="M6" s="87"/>
      <c r="N6" s="87"/>
      <c r="O6" s="88"/>
      <c r="P6" s="20"/>
      <c r="Q6" s="86"/>
      <c r="R6" s="87"/>
      <c r="S6" s="87"/>
      <c r="T6" s="87"/>
      <c r="U6" s="8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</row>
    <row r="7" spans="1:93" s="13" customFormat="1" ht="17.399999999999999" x14ac:dyDescent="0.25">
      <c r="A7" s="38"/>
      <c r="B7" s="111"/>
      <c r="C7" s="111"/>
      <c r="D7" s="25" t="s">
        <v>122</v>
      </c>
      <c r="E7" s="173" t="s">
        <v>7</v>
      </c>
      <c r="F7" s="87"/>
      <c r="G7" s="87"/>
      <c r="H7" s="87"/>
      <c r="I7" s="88"/>
      <c r="J7" s="21">
        <f t="shared" ref="J7:J9" si="0">IF(E7 = "Yes",4,0)</f>
        <v>4</v>
      </c>
      <c r="K7" s="173" t="s">
        <v>7</v>
      </c>
      <c r="L7" s="87"/>
      <c r="M7" s="87"/>
      <c r="N7" s="87"/>
      <c r="O7" s="88"/>
      <c r="P7" s="21">
        <f t="shared" ref="P7:P9" si="1">IF(K7 = "Yes",4,0)</f>
        <v>4</v>
      </c>
      <c r="Q7" s="14"/>
      <c r="R7" s="15"/>
      <c r="S7" s="15"/>
      <c r="T7" s="15"/>
      <c r="U7" s="15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</row>
    <row r="8" spans="1:93" s="13" customFormat="1" ht="17.399999999999999" x14ac:dyDescent="0.25">
      <c r="A8" s="38"/>
      <c r="B8" s="111"/>
      <c r="C8" s="111"/>
      <c r="D8" s="25" t="s">
        <v>121</v>
      </c>
      <c r="E8" s="173" t="s">
        <v>7</v>
      </c>
      <c r="F8" s="87"/>
      <c r="G8" s="87"/>
      <c r="H8" s="87"/>
      <c r="I8" s="88"/>
      <c r="J8" s="21">
        <f t="shared" si="0"/>
        <v>4</v>
      </c>
      <c r="K8" s="173" t="s">
        <v>7</v>
      </c>
      <c r="L8" s="87"/>
      <c r="M8" s="87"/>
      <c r="N8" s="87"/>
      <c r="O8" s="88"/>
      <c r="P8" s="21">
        <f t="shared" si="1"/>
        <v>4</v>
      </c>
      <c r="Q8" s="14"/>
      <c r="R8" s="15"/>
      <c r="S8" s="15"/>
      <c r="T8" s="15"/>
      <c r="U8" s="15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</row>
    <row r="9" spans="1:93" s="13" customFormat="1" ht="17.399999999999999" x14ac:dyDescent="0.25">
      <c r="A9" s="38"/>
      <c r="B9" s="111"/>
      <c r="C9" s="111"/>
      <c r="D9" s="25" t="s">
        <v>120</v>
      </c>
      <c r="E9" s="173" t="s">
        <v>7</v>
      </c>
      <c r="F9" s="87"/>
      <c r="G9" s="87"/>
      <c r="H9" s="87"/>
      <c r="I9" s="88"/>
      <c r="J9" s="21">
        <f t="shared" si="0"/>
        <v>4</v>
      </c>
      <c r="K9" s="173" t="s">
        <v>7</v>
      </c>
      <c r="L9" s="87"/>
      <c r="M9" s="87"/>
      <c r="N9" s="87"/>
      <c r="O9" s="88"/>
      <c r="P9" s="21">
        <f t="shared" si="1"/>
        <v>4</v>
      </c>
      <c r="Q9" s="14"/>
      <c r="R9" s="15"/>
      <c r="S9" s="15"/>
      <c r="T9" s="15"/>
      <c r="U9" s="15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</row>
    <row r="10" spans="1:93" s="13" customFormat="1" ht="17.399999999999999" x14ac:dyDescent="0.4">
      <c r="A10" s="38"/>
      <c r="C10" s="22"/>
      <c r="D10" s="10"/>
      <c r="E10" s="78"/>
      <c r="F10" s="78"/>
      <c r="G10" s="78"/>
      <c r="H10" s="78"/>
      <c r="I10" s="78"/>
      <c r="J10" s="20"/>
      <c r="K10" s="79"/>
      <c r="L10" s="79"/>
      <c r="M10" s="79"/>
      <c r="N10" s="79"/>
      <c r="O10" s="79"/>
      <c r="P10" s="20"/>
      <c r="Q10" s="14"/>
      <c r="R10" s="15"/>
      <c r="S10" s="15"/>
      <c r="T10" s="15"/>
      <c r="U10" s="15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</row>
    <row r="11" spans="1:93" s="13" customFormat="1" ht="19.05" customHeight="1" x14ac:dyDescent="0.25">
      <c r="A11" s="149"/>
      <c r="B11" s="150" t="s">
        <v>128</v>
      </c>
      <c r="C11" s="151"/>
      <c r="D11" s="152" t="s">
        <v>102</v>
      </c>
      <c r="E11" s="153">
        <f>SUM(J12:J15)</f>
        <v>13</v>
      </c>
      <c r="F11" s="154"/>
      <c r="G11" s="154"/>
      <c r="H11" s="154"/>
      <c r="I11" s="155"/>
      <c r="J11" s="156"/>
      <c r="K11" s="153">
        <f>SUM(P12:P15)</f>
        <v>13</v>
      </c>
      <c r="L11" s="154"/>
      <c r="M11" s="154"/>
      <c r="N11" s="154"/>
      <c r="O11" s="155"/>
      <c r="P11" s="156"/>
      <c r="Q11" s="153"/>
      <c r="R11" s="154"/>
      <c r="S11" s="154"/>
      <c r="T11" s="154"/>
      <c r="U11" s="155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</row>
    <row r="12" spans="1:93" s="13" customFormat="1" ht="17.399999999999999" x14ac:dyDescent="0.25">
      <c r="A12" s="149"/>
      <c r="B12" s="157"/>
      <c r="C12" s="158"/>
      <c r="D12" s="159" t="s">
        <v>103</v>
      </c>
      <c r="E12" s="160" t="s">
        <v>7</v>
      </c>
      <c r="F12" s="154"/>
      <c r="G12" s="154"/>
      <c r="H12" s="154"/>
      <c r="I12" s="155"/>
      <c r="J12" s="161">
        <f>IF(E12 = "Yes",3,0)</f>
        <v>3</v>
      </c>
      <c r="K12" s="160" t="s">
        <v>7</v>
      </c>
      <c r="L12" s="154"/>
      <c r="M12" s="154"/>
      <c r="N12" s="154"/>
      <c r="O12" s="155"/>
      <c r="P12" s="161">
        <f>IF(K12 = "Yes",3,0)</f>
        <v>3</v>
      </c>
      <c r="Q12" s="162"/>
      <c r="R12" s="163"/>
      <c r="S12" s="163"/>
      <c r="T12" s="163"/>
      <c r="U12" s="163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</row>
    <row r="13" spans="1:93" s="13" customFormat="1" ht="34.799999999999997" x14ac:dyDescent="0.25">
      <c r="A13" s="149"/>
      <c r="B13" s="157"/>
      <c r="C13" s="158"/>
      <c r="D13" s="159" t="s">
        <v>123</v>
      </c>
      <c r="E13" s="160" t="s">
        <v>7</v>
      </c>
      <c r="F13" s="154"/>
      <c r="G13" s="154"/>
      <c r="H13" s="154"/>
      <c r="I13" s="155"/>
      <c r="J13" s="161">
        <f>IF(E13 = "Yes",1,0)</f>
        <v>1</v>
      </c>
      <c r="K13" s="160" t="s">
        <v>7</v>
      </c>
      <c r="L13" s="154"/>
      <c r="M13" s="154"/>
      <c r="N13" s="154"/>
      <c r="O13" s="155"/>
      <c r="P13" s="161">
        <f>IF(K13 = "Yes",1,0)</f>
        <v>1</v>
      </c>
      <c r="Q13" s="162"/>
      <c r="R13" s="163"/>
      <c r="S13" s="163"/>
      <c r="T13" s="163"/>
      <c r="U13" s="163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</row>
    <row r="14" spans="1:93" s="13" customFormat="1" ht="17.399999999999999" x14ac:dyDescent="0.25">
      <c r="A14" s="149"/>
      <c r="B14" s="157"/>
      <c r="C14" s="158"/>
      <c r="D14" s="159" t="s">
        <v>124</v>
      </c>
      <c r="E14" s="160" t="s">
        <v>7</v>
      </c>
      <c r="F14" s="154"/>
      <c r="G14" s="154"/>
      <c r="H14" s="154"/>
      <c r="I14" s="155"/>
      <c r="J14" s="161">
        <f t="shared" ref="J14" si="2">IF(E14 = "Yes",4,0)</f>
        <v>4</v>
      </c>
      <c r="K14" s="160" t="s">
        <v>7</v>
      </c>
      <c r="L14" s="154"/>
      <c r="M14" s="154"/>
      <c r="N14" s="154"/>
      <c r="O14" s="155"/>
      <c r="P14" s="161">
        <f t="shared" ref="P14" si="3">IF(K14 = "Yes",4,0)</f>
        <v>4</v>
      </c>
      <c r="Q14" s="162"/>
      <c r="R14" s="163"/>
      <c r="S14" s="163"/>
      <c r="T14" s="163"/>
      <c r="U14" s="163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</row>
    <row r="15" spans="1:93" s="13" customFormat="1" ht="17.399999999999999" x14ac:dyDescent="0.25">
      <c r="A15" s="149"/>
      <c r="B15" s="164"/>
      <c r="C15" s="165"/>
      <c r="D15" s="159" t="s">
        <v>125</v>
      </c>
      <c r="E15" s="160" t="s">
        <v>7</v>
      </c>
      <c r="F15" s="154"/>
      <c r="G15" s="154"/>
      <c r="H15" s="154"/>
      <c r="I15" s="155"/>
      <c r="J15" s="161">
        <f>IF(E15 = "Yes",5,0)</f>
        <v>5</v>
      </c>
      <c r="K15" s="160" t="s">
        <v>7</v>
      </c>
      <c r="L15" s="154"/>
      <c r="M15" s="154"/>
      <c r="N15" s="154"/>
      <c r="O15" s="155"/>
      <c r="P15" s="161">
        <f>IF(K15 = "Yes",5,0)</f>
        <v>5</v>
      </c>
      <c r="Q15" s="162"/>
      <c r="R15" s="163"/>
      <c r="S15" s="163"/>
      <c r="T15" s="163"/>
      <c r="U15" s="163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</row>
    <row r="16" spans="1:93" s="13" customFormat="1" ht="17.399999999999999" x14ac:dyDescent="0.4">
      <c r="A16" s="38"/>
      <c r="C16" s="23"/>
      <c r="D16" s="18"/>
      <c r="E16" s="119"/>
      <c r="F16" s="119"/>
      <c r="G16" s="119"/>
      <c r="H16" s="119"/>
      <c r="I16" s="119"/>
      <c r="J16" s="20"/>
      <c r="K16" s="120"/>
      <c r="L16" s="120"/>
      <c r="M16" s="120"/>
      <c r="N16" s="120"/>
      <c r="O16" s="120"/>
      <c r="P16" s="120"/>
      <c r="Q16" s="14"/>
      <c r="R16" s="15"/>
      <c r="S16" s="15"/>
      <c r="T16" s="15"/>
      <c r="U16" s="15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</row>
    <row r="17" spans="1:93" s="13" customFormat="1" ht="19.05" customHeight="1" x14ac:dyDescent="0.25">
      <c r="A17" s="38"/>
      <c r="B17" s="80" t="s">
        <v>128</v>
      </c>
      <c r="C17" s="81"/>
      <c r="D17" s="24" t="s">
        <v>107</v>
      </c>
      <c r="E17" s="86">
        <f>SUM(J18:J20)</f>
        <v>13</v>
      </c>
      <c r="F17" s="87"/>
      <c r="G17" s="87"/>
      <c r="H17" s="87"/>
      <c r="I17" s="88"/>
      <c r="J17" s="20"/>
      <c r="K17" s="86">
        <f>SUM(P18:P20)</f>
        <v>13</v>
      </c>
      <c r="L17" s="87"/>
      <c r="M17" s="87"/>
      <c r="N17" s="87"/>
      <c r="O17" s="88"/>
      <c r="P17" s="20"/>
      <c r="Q17" s="86"/>
      <c r="R17" s="87"/>
      <c r="S17" s="87"/>
      <c r="T17" s="87"/>
      <c r="U17" s="8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</row>
    <row r="18" spans="1:93" s="13" customFormat="1" ht="17.399999999999999" x14ac:dyDescent="0.25">
      <c r="A18" s="38"/>
      <c r="B18" s="82"/>
      <c r="C18" s="83"/>
      <c r="D18" s="25" t="s">
        <v>126</v>
      </c>
      <c r="E18" s="173" t="s">
        <v>7</v>
      </c>
      <c r="F18" s="87"/>
      <c r="G18" s="87"/>
      <c r="H18" s="87"/>
      <c r="I18" s="88"/>
      <c r="J18" s="21">
        <f t="shared" ref="J18:J19" si="4">IF(E18 = "Yes",4,0)</f>
        <v>4</v>
      </c>
      <c r="K18" s="173" t="s">
        <v>7</v>
      </c>
      <c r="L18" s="87"/>
      <c r="M18" s="87"/>
      <c r="N18" s="87"/>
      <c r="O18" s="88"/>
      <c r="P18" s="21">
        <f t="shared" ref="P18:P19" si="5">IF(K18 = "Yes",4,0)</f>
        <v>4</v>
      </c>
      <c r="Q18" s="14"/>
      <c r="R18" s="15"/>
      <c r="S18" s="15"/>
      <c r="T18" s="15"/>
      <c r="U18" s="15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</row>
    <row r="19" spans="1:93" s="13" customFormat="1" ht="34.799999999999997" x14ac:dyDescent="0.25">
      <c r="A19" s="38"/>
      <c r="B19" s="82"/>
      <c r="C19" s="83"/>
      <c r="D19" s="25" t="s">
        <v>105</v>
      </c>
      <c r="E19" s="173" t="s">
        <v>7</v>
      </c>
      <c r="F19" s="87"/>
      <c r="G19" s="87"/>
      <c r="H19" s="87"/>
      <c r="I19" s="88"/>
      <c r="J19" s="21">
        <f t="shared" si="4"/>
        <v>4</v>
      </c>
      <c r="K19" s="173" t="s">
        <v>7</v>
      </c>
      <c r="L19" s="87"/>
      <c r="M19" s="87"/>
      <c r="N19" s="87"/>
      <c r="O19" s="88"/>
      <c r="P19" s="21">
        <f t="shared" si="5"/>
        <v>4</v>
      </c>
      <c r="Q19" s="14"/>
      <c r="R19" s="15"/>
      <c r="S19" s="15"/>
      <c r="T19" s="15"/>
      <c r="U19" s="15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</row>
    <row r="20" spans="1:93" s="13" customFormat="1" ht="17.399999999999999" x14ac:dyDescent="0.25">
      <c r="A20" s="38"/>
      <c r="B20" s="84"/>
      <c r="C20" s="85"/>
      <c r="D20" s="25" t="s">
        <v>127</v>
      </c>
      <c r="E20" s="173" t="s">
        <v>7</v>
      </c>
      <c r="F20" s="87"/>
      <c r="G20" s="87"/>
      <c r="H20" s="87"/>
      <c r="I20" s="88"/>
      <c r="J20" s="21">
        <f>IF(E20 = "Yes",5,0)</f>
        <v>5</v>
      </c>
      <c r="K20" s="173" t="s">
        <v>7</v>
      </c>
      <c r="L20" s="87"/>
      <c r="M20" s="87"/>
      <c r="N20" s="87"/>
      <c r="O20" s="88"/>
      <c r="P20" s="21">
        <f>IF(K20 = "Yes",5,0)</f>
        <v>5</v>
      </c>
      <c r="Q20" s="14"/>
      <c r="R20" s="15"/>
      <c r="S20" s="15"/>
      <c r="T20" s="15"/>
      <c r="U20" s="15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</row>
    <row r="21" spans="1:93" s="13" customFormat="1" ht="17.399999999999999" x14ac:dyDescent="0.4">
      <c r="A21" s="38"/>
      <c r="C21" s="23"/>
      <c r="D21" s="19"/>
      <c r="E21" s="112"/>
      <c r="F21" s="112"/>
      <c r="G21" s="112"/>
      <c r="H21" s="112"/>
      <c r="I21" s="112"/>
      <c r="J21" s="21"/>
      <c r="K21" s="79"/>
      <c r="L21" s="79"/>
      <c r="M21" s="79"/>
      <c r="N21" s="79"/>
      <c r="O21" s="79"/>
      <c r="P21" s="21"/>
      <c r="Q21" s="14"/>
      <c r="R21" s="15"/>
      <c r="S21" s="15"/>
      <c r="T21" s="15"/>
      <c r="U21" s="15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</row>
    <row r="22" spans="1:93" s="13" customFormat="1" ht="19.05" customHeight="1" x14ac:dyDescent="0.25">
      <c r="A22" s="149"/>
      <c r="B22" s="166" t="s">
        <v>130</v>
      </c>
      <c r="C22" s="167"/>
      <c r="D22" s="152" t="s">
        <v>108</v>
      </c>
      <c r="E22" s="153">
        <f>SUM(J23:J25)</f>
        <v>12</v>
      </c>
      <c r="F22" s="154"/>
      <c r="G22" s="154"/>
      <c r="H22" s="154"/>
      <c r="I22" s="155"/>
      <c r="J22" s="156"/>
      <c r="K22" s="153">
        <f>SUM(P23:P25)</f>
        <v>12</v>
      </c>
      <c r="L22" s="154"/>
      <c r="M22" s="154"/>
      <c r="N22" s="154"/>
      <c r="O22" s="155"/>
      <c r="P22" s="156"/>
      <c r="Q22" s="153"/>
      <c r="R22" s="154"/>
      <c r="S22" s="154"/>
      <c r="T22" s="154"/>
      <c r="U22" s="155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</row>
    <row r="23" spans="1:93" s="13" customFormat="1" ht="17.399999999999999" x14ac:dyDescent="0.25">
      <c r="A23" s="149"/>
      <c r="B23" s="168"/>
      <c r="C23" s="169"/>
      <c r="D23" s="159" t="s">
        <v>132</v>
      </c>
      <c r="E23" s="160" t="s">
        <v>7</v>
      </c>
      <c r="F23" s="154"/>
      <c r="G23" s="154"/>
      <c r="H23" s="154"/>
      <c r="I23" s="155"/>
      <c r="J23" s="161">
        <f t="shared" ref="J23:J25" si="6">IF(E23 = "Yes",4,0)</f>
        <v>4</v>
      </c>
      <c r="K23" s="160" t="s">
        <v>7</v>
      </c>
      <c r="L23" s="154"/>
      <c r="M23" s="154"/>
      <c r="N23" s="154"/>
      <c r="O23" s="155"/>
      <c r="P23" s="161">
        <f t="shared" ref="P23:P25" si="7">IF(K23 = "Yes",4,0)</f>
        <v>4</v>
      </c>
      <c r="Q23" s="162"/>
      <c r="R23" s="163"/>
      <c r="S23" s="163"/>
      <c r="T23" s="163"/>
      <c r="U23" s="163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</row>
    <row r="24" spans="1:93" s="13" customFormat="1" ht="17.399999999999999" x14ac:dyDescent="0.25">
      <c r="A24" s="149"/>
      <c r="B24" s="168"/>
      <c r="C24" s="169"/>
      <c r="D24" s="159" t="s">
        <v>133</v>
      </c>
      <c r="E24" s="160" t="s">
        <v>7</v>
      </c>
      <c r="F24" s="154"/>
      <c r="G24" s="154"/>
      <c r="H24" s="154"/>
      <c r="I24" s="155"/>
      <c r="J24" s="161">
        <f t="shared" si="6"/>
        <v>4</v>
      </c>
      <c r="K24" s="160" t="s">
        <v>7</v>
      </c>
      <c r="L24" s="154"/>
      <c r="M24" s="154"/>
      <c r="N24" s="154"/>
      <c r="O24" s="155"/>
      <c r="P24" s="161">
        <f t="shared" si="7"/>
        <v>4</v>
      </c>
      <c r="Q24" s="162"/>
      <c r="R24" s="163"/>
      <c r="S24" s="163"/>
      <c r="T24" s="163"/>
      <c r="U24" s="163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</row>
    <row r="25" spans="1:93" s="13" customFormat="1" ht="17.399999999999999" x14ac:dyDescent="0.25">
      <c r="A25" s="149"/>
      <c r="B25" s="170"/>
      <c r="C25" s="171"/>
      <c r="D25" s="159" t="s">
        <v>134</v>
      </c>
      <c r="E25" s="160" t="s">
        <v>7</v>
      </c>
      <c r="F25" s="154"/>
      <c r="G25" s="154"/>
      <c r="H25" s="154"/>
      <c r="I25" s="155"/>
      <c r="J25" s="161">
        <f t="shared" si="6"/>
        <v>4</v>
      </c>
      <c r="K25" s="160" t="s">
        <v>7</v>
      </c>
      <c r="L25" s="154"/>
      <c r="M25" s="154"/>
      <c r="N25" s="154"/>
      <c r="O25" s="155"/>
      <c r="P25" s="161">
        <f t="shared" si="7"/>
        <v>4</v>
      </c>
      <c r="Q25" s="162"/>
      <c r="R25" s="163"/>
      <c r="S25" s="163"/>
      <c r="T25" s="163"/>
      <c r="U25" s="163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</row>
    <row r="26" spans="1:93" s="13" customFormat="1" ht="17.399999999999999" x14ac:dyDescent="0.4">
      <c r="A26" s="38"/>
      <c r="C26" s="23"/>
      <c r="D26" s="19"/>
      <c r="E26" s="112"/>
      <c r="F26" s="112"/>
      <c r="G26" s="112"/>
      <c r="H26" s="112"/>
      <c r="I26" s="112"/>
      <c r="J26" s="21"/>
      <c r="K26" s="79"/>
      <c r="L26" s="79"/>
      <c r="M26" s="79"/>
      <c r="N26" s="79"/>
      <c r="O26" s="79"/>
      <c r="P26" s="21"/>
      <c r="Q26" s="14"/>
      <c r="R26" s="15"/>
      <c r="S26" s="15"/>
      <c r="T26" s="15"/>
      <c r="U26" s="15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</row>
    <row r="27" spans="1:93" s="13" customFormat="1" ht="17.399999999999999" x14ac:dyDescent="0.25">
      <c r="A27" s="38"/>
      <c r="B27" s="121" t="s">
        <v>129</v>
      </c>
      <c r="C27" s="111" t="s">
        <v>128</v>
      </c>
      <c r="D27" s="24" t="s">
        <v>109</v>
      </c>
      <c r="E27" s="86">
        <f>SUM(J28:J30)</f>
        <v>12</v>
      </c>
      <c r="F27" s="87"/>
      <c r="G27" s="87"/>
      <c r="H27" s="87"/>
      <c r="I27" s="88"/>
      <c r="J27" s="20"/>
      <c r="K27" s="86">
        <f>SUM(P28:P30)</f>
        <v>12</v>
      </c>
      <c r="L27" s="87"/>
      <c r="M27" s="87"/>
      <c r="N27" s="87"/>
      <c r="O27" s="88"/>
      <c r="P27" s="20"/>
      <c r="Q27" s="86"/>
      <c r="R27" s="87"/>
      <c r="S27" s="87"/>
      <c r="T27" s="87"/>
      <c r="U27" s="8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</row>
    <row r="28" spans="1:93" s="13" customFormat="1" ht="34.799999999999997" x14ac:dyDescent="0.25">
      <c r="A28" s="38"/>
      <c r="B28" s="121"/>
      <c r="C28" s="111"/>
      <c r="D28" s="25" t="s">
        <v>135</v>
      </c>
      <c r="E28" s="173" t="s">
        <v>7</v>
      </c>
      <c r="F28" s="87"/>
      <c r="G28" s="87"/>
      <c r="H28" s="87"/>
      <c r="I28" s="88"/>
      <c r="J28" s="21">
        <f t="shared" ref="J28:J30" si="8">IF(E28 = "Yes",4,0)</f>
        <v>4</v>
      </c>
      <c r="K28" s="173" t="s">
        <v>7</v>
      </c>
      <c r="L28" s="87"/>
      <c r="M28" s="87"/>
      <c r="N28" s="87"/>
      <c r="O28" s="88"/>
      <c r="P28" s="21">
        <f t="shared" ref="P28:P30" si="9">IF(K28 = "Yes",4,0)</f>
        <v>4</v>
      </c>
      <c r="Q28" s="14"/>
      <c r="R28" s="15"/>
      <c r="S28" s="15"/>
      <c r="T28" s="15"/>
      <c r="U28" s="15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</row>
    <row r="29" spans="1:93" s="13" customFormat="1" ht="17.399999999999999" x14ac:dyDescent="0.25">
      <c r="A29" s="38"/>
      <c r="B29" s="121"/>
      <c r="C29" s="111"/>
      <c r="D29" s="25" t="s">
        <v>136</v>
      </c>
      <c r="E29" s="173" t="s">
        <v>7</v>
      </c>
      <c r="F29" s="87"/>
      <c r="G29" s="87"/>
      <c r="H29" s="87"/>
      <c r="I29" s="88"/>
      <c r="J29" s="21">
        <f t="shared" si="8"/>
        <v>4</v>
      </c>
      <c r="K29" s="173" t="s">
        <v>7</v>
      </c>
      <c r="L29" s="87"/>
      <c r="M29" s="87"/>
      <c r="N29" s="87"/>
      <c r="O29" s="88"/>
      <c r="P29" s="21">
        <f t="shared" si="9"/>
        <v>4</v>
      </c>
      <c r="Q29" s="14"/>
      <c r="R29" s="15"/>
      <c r="S29" s="15"/>
      <c r="T29" s="15"/>
      <c r="U29" s="15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</row>
    <row r="30" spans="1:93" s="13" customFormat="1" ht="17.399999999999999" x14ac:dyDescent="0.25">
      <c r="A30" s="38"/>
      <c r="B30" s="121"/>
      <c r="C30" s="111"/>
      <c r="D30" s="25" t="s">
        <v>137</v>
      </c>
      <c r="E30" s="173" t="s">
        <v>7</v>
      </c>
      <c r="F30" s="87"/>
      <c r="G30" s="87"/>
      <c r="H30" s="87"/>
      <c r="I30" s="88"/>
      <c r="J30" s="21">
        <f t="shared" si="8"/>
        <v>4</v>
      </c>
      <c r="K30" s="173" t="s">
        <v>7</v>
      </c>
      <c r="L30" s="87"/>
      <c r="M30" s="87"/>
      <c r="N30" s="87"/>
      <c r="O30" s="88"/>
      <c r="P30" s="21">
        <f t="shared" si="9"/>
        <v>4</v>
      </c>
      <c r="Q30" s="14"/>
      <c r="R30" s="15"/>
      <c r="S30" s="15"/>
      <c r="T30" s="15"/>
      <c r="U30" s="15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</row>
    <row r="31" spans="1:93" s="13" customFormat="1" ht="17.399999999999999" x14ac:dyDescent="0.4">
      <c r="A31" s="38"/>
      <c r="C31" s="23"/>
      <c r="D31" s="19"/>
      <c r="E31" s="112"/>
      <c r="F31" s="112"/>
      <c r="G31" s="112"/>
      <c r="H31" s="112"/>
      <c r="I31" s="112"/>
      <c r="J31" s="21"/>
      <c r="K31" s="79"/>
      <c r="L31" s="79"/>
      <c r="M31" s="79"/>
      <c r="N31" s="79"/>
      <c r="O31" s="79"/>
      <c r="P31" s="21"/>
      <c r="Q31" s="14"/>
      <c r="R31" s="15"/>
      <c r="S31" s="15"/>
      <c r="T31" s="15"/>
      <c r="U31" s="15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</row>
    <row r="32" spans="1:93" s="13" customFormat="1" ht="19.05" customHeight="1" x14ac:dyDescent="0.25">
      <c r="A32" s="38"/>
      <c r="B32" s="121" t="s">
        <v>129</v>
      </c>
      <c r="C32" s="121"/>
      <c r="D32" s="24" t="s">
        <v>110</v>
      </c>
      <c r="E32" s="86">
        <f>SUM(J33:J36)</f>
        <v>13</v>
      </c>
      <c r="F32" s="87"/>
      <c r="G32" s="87"/>
      <c r="H32" s="87"/>
      <c r="I32" s="88"/>
      <c r="J32" s="20"/>
      <c r="K32" s="86">
        <f>SUM(P33:P36)</f>
        <v>13</v>
      </c>
      <c r="L32" s="87"/>
      <c r="M32" s="87"/>
      <c r="N32" s="87"/>
      <c r="O32" s="88"/>
      <c r="P32" s="20"/>
      <c r="Q32" s="86"/>
      <c r="R32" s="87"/>
      <c r="S32" s="87"/>
      <c r="T32" s="87"/>
      <c r="U32" s="8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</row>
    <row r="33" spans="1:93" s="13" customFormat="1" ht="17.399999999999999" x14ac:dyDescent="0.25">
      <c r="A33" s="38"/>
      <c r="B33" s="121"/>
      <c r="C33" s="121"/>
      <c r="D33" s="25" t="s">
        <v>138</v>
      </c>
      <c r="E33" s="173" t="s">
        <v>7</v>
      </c>
      <c r="F33" s="87"/>
      <c r="G33" s="87"/>
      <c r="H33" s="87"/>
      <c r="I33" s="88"/>
      <c r="J33" s="21">
        <f t="shared" ref="J33:J35" si="10">IF(E33 = "Yes",3,0)</f>
        <v>3</v>
      </c>
      <c r="K33" s="173" t="s">
        <v>7</v>
      </c>
      <c r="L33" s="87"/>
      <c r="M33" s="87"/>
      <c r="N33" s="87"/>
      <c r="O33" s="88"/>
      <c r="P33" s="21">
        <f t="shared" ref="P33:P35" si="11">IF(K33 = "Yes",3,0)</f>
        <v>3</v>
      </c>
      <c r="Q33" s="14"/>
      <c r="R33" s="15"/>
      <c r="S33" s="15"/>
      <c r="T33" s="15"/>
      <c r="U33" s="15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</row>
    <row r="34" spans="1:93" s="13" customFormat="1" ht="17.399999999999999" x14ac:dyDescent="0.25">
      <c r="A34" s="38"/>
      <c r="B34" s="121"/>
      <c r="C34" s="121"/>
      <c r="D34" s="25" t="s">
        <v>139</v>
      </c>
      <c r="E34" s="173" t="s">
        <v>7</v>
      </c>
      <c r="F34" s="87"/>
      <c r="G34" s="87"/>
      <c r="H34" s="87"/>
      <c r="I34" s="88"/>
      <c r="J34" s="21">
        <f t="shared" si="10"/>
        <v>3</v>
      </c>
      <c r="K34" s="173" t="s">
        <v>7</v>
      </c>
      <c r="L34" s="87"/>
      <c r="M34" s="87"/>
      <c r="N34" s="87"/>
      <c r="O34" s="88"/>
      <c r="P34" s="21">
        <f t="shared" si="11"/>
        <v>3</v>
      </c>
      <c r="Q34" s="14"/>
      <c r="R34" s="15"/>
      <c r="S34" s="15"/>
      <c r="T34" s="15"/>
      <c r="U34" s="15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</row>
    <row r="35" spans="1:93" s="13" customFormat="1" ht="17.399999999999999" x14ac:dyDescent="0.25">
      <c r="A35" s="38"/>
      <c r="B35" s="121"/>
      <c r="C35" s="121"/>
      <c r="D35" s="25" t="s">
        <v>140</v>
      </c>
      <c r="E35" s="173" t="s">
        <v>7</v>
      </c>
      <c r="F35" s="87"/>
      <c r="G35" s="87"/>
      <c r="H35" s="87"/>
      <c r="I35" s="88"/>
      <c r="J35" s="21">
        <f t="shared" si="10"/>
        <v>3</v>
      </c>
      <c r="K35" s="173" t="s">
        <v>7</v>
      </c>
      <c r="L35" s="87"/>
      <c r="M35" s="87"/>
      <c r="N35" s="87"/>
      <c r="O35" s="88"/>
      <c r="P35" s="21">
        <f t="shared" si="11"/>
        <v>3</v>
      </c>
      <c r="Q35" s="14"/>
      <c r="R35" s="15"/>
      <c r="S35" s="15"/>
      <c r="T35" s="15"/>
      <c r="U35" s="15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</row>
    <row r="36" spans="1:93" s="13" customFormat="1" ht="17.399999999999999" x14ac:dyDescent="0.25">
      <c r="A36" s="38"/>
      <c r="B36" s="121"/>
      <c r="C36" s="121"/>
      <c r="D36" s="25" t="s">
        <v>141</v>
      </c>
      <c r="E36" s="173" t="s">
        <v>7</v>
      </c>
      <c r="F36" s="87"/>
      <c r="G36" s="87"/>
      <c r="H36" s="87"/>
      <c r="I36" s="88"/>
      <c r="J36" s="21">
        <f>IF(E36 = "Yes",4,0)</f>
        <v>4</v>
      </c>
      <c r="K36" s="173" t="s">
        <v>7</v>
      </c>
      <c r="L36" s="87"/>
      <c r="M36" s="87"/>
      <c r="N36" s="87"/>
      <c r="O36" s="88"/>
      <c r="P36" s="21">
        <f>IF(K36 = "Yes",4,0)</f>
        <v>4</v>
      </c>
      <c r="Q36" s="14"/>
      <c r="R36" s="15"/>
      <c r="S36" s="15"/>
      <c r="T36" s="15"/>
      <c r="U36" s="15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</row>
    <row r="37" spans="1:93" s="13" customFormat="1" ht="17.399999999999999" x14ac:dyDescent="0.4">
      <c r="A37" s="38"/>
      <c r="C37" s="23"/>
      <c r="D37" s="120"/>
      <c r="E37" s="120"/>
      <c r="F37" s="120"/>
      <c r="G37" s="120"/>
      <c r="H37" s="120"/>
      <c r="I37" s="120"/>
      <c r="J37" s="20"/>
      <c r="K37" s="120"/>
      <c r="L37" s="120"/>
      <c r="M37" s="120"/>
      <c r="N37" s="120"/>
      <c r="O37" s="120"/>
      <c r="P37" s="120"/>
      <c r="Q37" s="14"/>
      <c r="R37" s="15"/>
      <c r="S37" s="15"/>
      <c r="T37" s="15"/>
      <c r="U37" s="15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</row>
    <row r="38" spans="1:93" s="13" customFormat="1" ht="19.05" customHeight="1" x14ac:dyDescent="0.25">
      <c r="A38" s="38"/>
      <c r="B38" s="121" t="s">
        <v>129</v>
      </c>
      <c r="C38" s="121"/>
      <c r="D38" s="24" t="s">
        <v>111</v>
      </c>
      <c r="E38" s="86">
        <f>SUM(J39:J41)</f>
        <v>13</v>
      </c>
      <c r="F38" s="87"/>
      <c r="G38" s="87"/>
      <c r="H38" s="87"/>
      <c r="I38" s="88"/>
      <c r="J38" s="20"/>
      <c r="K38" s="86">
        <f>SUM(P39:P41)</f>
        <v>13</v>
      </c>
      <c r="L38" s="87"/>
      <c r="M38" s="87"/>
      <c r="N38" s="87"/>
      <c r="O38" s="88"/>
      <c r="P38" s="20"/>
      <c r="Q38" s="86"/>
      <c r="R38" s="87"/>
      <c r="S38" s="87"/>
      <c r="T38" s="87"/>
      <c r="U38" s="8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</row>
    <row r="39" spans="1:93" s="13" customFormat="1" ht="17.399999999999999" x14ac:dyDescent="0.25">
      <c r="A39" s="38"/>
      <c r="B39" s="121"/>
      <c r="C39" s="121"/>
      <c r="D39" s="25" t="s">
        <v>142</v>
      </c>
      <c r="E39" s="173" t="s">
        <v>7</v>
      </c>
      <c r="F39" s="87"/>
      <c r="G39" s="87"/>
      <c r="H39" s="87"/>
      <c r="I39" s="88"/>
      <c r="J39" s="21">
        <f t="shared" ref="J39:J40" si="12">IF(E39 = "Yes",4,0)</f>
        <v>4</v>
      </c>
      <c r="K39" s="173" t="s">
        <v>7</v>
      </c>
      <c r="L39" s="87"/>
      <c r="M39" s="87"/>
      <c r="N39" s="87"/>
      <c r="O39" s="88"/>
      <c r="P39" s="21">
        <f t="shared" ref="P39:P40" si="13">IF(K39 = "Yes",4,0)</f>
        <v>4</v>
      </c>
      <c r="Q39" s="14"/>
      <c r="R39" s="15"/>
      <c r="S39" s="15"/>
      <c r="T39" s="15"/>
      <c r="U39" s="15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</row>
    <row r="40" spans="1:93" s="13" customFormat="1" ht="17.399999999999999" x14ac:dyDescent="0.25">
      <c r="A40" s="38"/>
      <c r="B40" s="121"/>
      <c r="C40" s="121"/>
      <c r="D40" s="25" t="s">
        <v>143</v>
      </c>
      <c r="E40" s="173" t="s">
        <v>7</v>
      </c>
      <c r="F40" s="87"/>
      <c r="G40" s="87"/>
      <c r="H40" s="87"/>
      <c r="I40" s="88"/>
      <c r="J40" s="21">
        <f t="shared" si="12"/>
        <v>4</v>
      </c>
      <c r="K40" s="173" t="s">
        <v>7</v>
      </c>
      <c r="L40" s="87"/>
      <c r="M40" s="87"/>
      <c r="N40" s="87"/>
      <c r="O40" s="88"/>
      <c r="P40" s="21">
        <f t="shared" si="13"/>
        <v>4</v>
      </c>
      <c r="Q40" s="14"/>
      <c r="R40" s="15"/>
      <c r="S40" s="15"/>
      <c r="T40" s="15"/>
      <c r="U40" s="15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</row>
    <row r="41" spans="1:93" s="13" customFormat="1" ht="17.399999999999999" x14ac:dyDescent="0.25">
      <c r="A41" s="38"/>
      <c r="B41" s="121"/>
      <c r="C41" s="121"/>
      <c r="D41" s="25" t="s">
        <v>144</v>
      </c>
      <c r="E41" s="173" t="s">
        <v>7</v>
      </c>
      <c r="F41" s="87"/>
      <c r="G41" s="87"/>
      <c r="H41" s="87"/>
      <c r="I41" s="88"/>
      <c r="J41" s="21">
        <f>IF(E41 = "Yes",5,0)</f>
        <v>5</v>
      </c>
      <c r="K41" s="173" t="s">
        <v>7</v>
      </c>
      <c r="L41" s="87"/>
      <c r="M41" s="87"/>
      <c r="N41" s="87"/>
      <c r="O41" s="88"/>
      <c r="P41" s="21">
        <f>IF(K41 = "Yes",5,0)</f>
        <v>5</v>
      </c>
      <c r="Q41" s="14"/>
      <c r="R41" s="15"/>
      <c r="S41" s="15"/>
      <c r="T41" s="15"/>
      <c r="U41" s="15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</row>
    <row r="42" spans="1:93" s="13" customFormat="1" ht="17.399999999999999" x14ac:dyDescent="0.4">
      <c r="A42" s="38"/>
      <c r="C42" s="23"/>
      <c r="D42" s="18"/>
      <c r="E42" s="119"/>
      <c r="F42" s="119"/>
      <c r="G42" s="119"/>
      <c r="H42" s="119"/>
      <c r="I42" s="119"/>
      <c r="J42" s="20"/>
      <c r="K42" s="120"/>
      <c r="L42" s="120"/>
      <c r="M42" s="120"/>
      <c r="N42" s="120"/>
      <c r="O42" s="120"/>
      <c r="P42" s="120"/>
      <c r="Q42" s="14"/>
      <c r="R42" s="15"/>
      <c r="S42" s="15"/>
      <c r="T42" s="15"/>
      <c r="U42" s="15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</row>
    <row r="43" spans="1:93" s="13" customFormat="1" ht="19.05" customHeight="1" x14ac:dyDescent="0.25">
      <c r="A43" s="149"/>
      <c r="B43" s="172" t="s">
        <v>129</v>
      </c>
      <c r="C43" s="172"/>
      <c r="D43" s="152" t="s">
        <v>14</v>
      </c>
      <c r="E43" s="153">
        <f>SUM(J44:J46)</f>
        <v>12</v>
      </c>
      <c r="F43" s="154"/>
      <c r="G43" s="154"/>
      <c r="H43" s="154"/>
      <c r="I43" s="155"/>
      <c r="J43" s="156"/>
      <c r="K43" s="153">
        <f>SUM(P44:P46)</f>
        <v>12</v>
      </c>
      <c r="L43" s="154"/>
      <c r="M43" s="154"/>
      <c r="N43" s="154"/>
      <c r="O43" s="155"/>
      <c r="P43" s="156"/>
      <c r="Q43" s="153"/>
      <c r="R43" s="154"/>
      <c r="S43" s="154"/>
      <c r="T43" s="154"/>
      <c r="U43" s="155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</row>
    <row r="44" spans="1:93" s="13" customFormat="1" ht="34.799999999999997" x14ac:dyDescent="0.25">
      <c r="A44" s="149"/>
      <c r="B44" s="172"/>
      <c r="C44" s="172"/>
      <c r="D44" s="159" t="s">
        <v>145</v>
      </c>
      <c r="E44" s="160" t="s">
        <v>7</v>
      </c>
      <c r="F44" s="154"/>
      <c r="G44" s="154"/>
      <c r="H44" s="154"/>
      <c r="I44" s="155"/>
      <c r="J44" s="161">
        <f t="shared" ref="J44:J45" si="14">IF(E44 = "Yes",4,0)</f>
        <v>4</v>
      </c>
      <c r="K44" s="160" t="s">
        <v>7</v>
      </c>
      <c r="L44" s="154"/>
      <c r="M44" s="154"/>
      <c r="N44" s="154"/>
      <c r="O44" s="155"/>
      <c r="P44" s="161">
        <f t="shared" ref="P44:P45" si="15">IF(K44 = "Yes",4,0)</f>
        <v>4</v>
      </c>
      <c r="Q44" s="162"/>
      <c r="R44" s="163"/>
      <c r="S44" s="163"/>
      <c r="T44" s="163"/>
      <c r="U44" s="163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</row>
    <row r="45" spans="1:93" s="13" customFormat="1" ht="34.799999999999997" x14ac:dyDescent="0.25">
      <c r="A45" s="149"/>
      <c r="B45" s="172"/>
      <c r="C45" s="172"/>
      <c r="D45" s="159" t="s">
        <v>146</v>
      </c>
      <c r="E45" s="160" t="s">
        <v>7</v>
      </c>
      <c r="F45" s="154"/>
      <c r="G45" s="154"/>
      <c r="H45" s="154"/>
      <c r="I45" s="155"/>
      <c r="J45" s="161">
        <f t="shared" si="14"/>
        <v>4</v>
      </c>
      <c r="K45" s="160" t="s">
        <v>7</v>
      </c>
      <c r="L45" s="154"/>
      <c r="M45" s="154"/>
      <c r="N45" s="154"/>
      <c r="O45" s="155"/>
      <c r="P45" s="161">
        <f t="shared" si="15"/>
        <v>4</v>
      </c>
      <c r="Q45" s="162"/>
      <c r="R45" s="163"/>
      <c r="S45" s="163"/>
      <c r="T45" s="163"/>
      <c r="U45" s="163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</row>
    <row r="46" spans="1:93" s="13" customFormat="1" ht="17.399999999999999" x14ac:dyDescent="0.25">
      <c r="A46" s="149"/>
      <c r="B46" s="172"/>
      <c r="C46" s="172"/>
      <c r="D46" s="159" t="s">
        <v>147</v>
      </c>
      <c r="E46" s="160" t="s">
        <v>7</v>
      </c>
      <c r="F46" s="154"/>
      <c r="G46" s="154"/>
      <c r="H46" s="154"/>
      <c r="I46" s="155"/>
      <c r="J46" s="161">
        <f>IF(E46 = "Yes",4,0)</f>
        <v>4</v>
      </c>
      <c r="K46" s="160" t="s">
        <v>7</v>
      </c>
      <c r="L46" s="154"/>
      <c r="M46" s="154"/>
      <c r="N46" s="154"/>
      <c r="O46" s="155"/>
      <c r="P46" s="161">
        <f>IF(K46 = "Yes",4,0)</f>
        <v>4</v>
      </c>
      <c r="Q46" s="162"/>
      <c r="R46" s="163"/>
      <c r="S46" s="163"/>
      <c r="T46" s="163"/>
      <c r="U46" s="163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</row>
    <row r="47" spans="1:93" s="38" customFormat="1" ht="17.399999999999999" x14ac:dyDescent="0.4">
      <c r="C47" s="43"/>
      <c r="D47" s="44"/>
      <c r="E47" s="44"/>
      <c r="F47" s="44"/>
      <c r="G47" s="44"/>
      <c r="H47" s="44"/>
      <c r="I47" s="44"/>
      <c r="J47" s="45"/>
      <c r="K47" s="122"/>
      <c r="L47" s="122"/>
      <c r="M47" s="122"/>
      <c r="N47" s="122"/>
      <c r="O47" s="122"/>
      <c r="P47" s="122"/>
      <c r="Q47" s="37"/>
      <c r="R47" s="40"/>
      <c r="S47" s="40"/>
      <c r="T47" s="40"/>
      <c r="U47" s="40"/>
    </row>
    <row r="48" spans="1:93" s="38" customFormat="1" ht="17.399999999999999" x14ac:dyDescent="0.4">
      <c r="C48" s="43"/>
      <c r="J48" s="46"/>
      <c r="P48" s="46"/>
      <c r="Q48" s="37"/>
      <c r="R48" s="40"/>
      <c r="S48" s="40"/>
      <c r="T48" s="40"/>
      <c r="U48" s="40"/>
    </row>
    <row r="49" spans="3:21" s="38" customFormat="1" ht="17.399999999999999" x14ac:dyDescent="0.4">
      <c r="C49" s="43"/>
      <c r="J49" s="46"/>
      <c r="P49" s="46"/>
      <c r="Q49" s="37"/>
      <c r="R49" s="40"/>
      <c r="S49" s="40"/>
      <c r="T49" s="40"/>
      <c r="U49" s="40"/>
    </row>
    <row r="50" spans="3:21" s="38" customFormat="1" ht="17.399999999999999" x14ac:dyDescent="0.4">
      <c r="C50" s="43"/>
      <c r="E50" s="123"/>
      <c r="F50" s="123"/>
      <c r="G50" s="123"/>
      <c r="H50" s="123"/>
      <c r="I50" s="123"/>
      <c r="J50" s="46"/>
      <c r="P50" s="46"/>
      <c r="Q50" s="37"/>
      <c r="R50" s="40"/>
      <c r="S50" s="40"/>
      <c r="T50" s="40"/>
      <c r="U50" s="40"/>
    </row>
    <row r="51" spans="3:21" s="38" customFormat="1" ht="17.399999999999999" x14ac:dyDescent="0.4">
      <c r="C51" s="43"/>
      <c r="J51" s="46"/>
      <c r="P51" s="46"/>
      <c r="Q51" s="37"/>
      <c r="R51" s="40"/>
      <c r="S51" s="40"/>
      <c r="T51" s="40"/>
      <c r="U51" s="40"/>
    </row>
    <row r="52" spans="3:21" s="37" customFormat="1" ht="15.75" customHeight="1" x14ac:dyDescent="0.35">
      <c r="D52" s="40"/>
      <c r="E52" s="34"/>
      <c r="F52" s="34"/>
      <c r="G52" s="34"/>
      <c r="H52" s="34"/>
      <c r="I52" s="34"/>
      <c r="J52" s="39"/>
      <c r="K52" s="34"/>
      <c r="L52" s="34"/>
      <c r="M52" s="34"/>
      <c r="N52" s="34"/>
      <c r="O52" s="34"/>
      <c r="P52" s="39"/>
      <c r="R52" s="40"/>
      <c r="S52" s="40"/>
      <c r="T52" s="40"/>
      <c r="U52" s="40"/>
    </row>
    <row r="53" spans="3:21" s="37" customFormat="1" ht="15.75" customHeight="1" x14ac:dyDescent="0.35">
      <c r="D53" s="40"/>
      <c r="E53" s="34"/>
      <c r="F53" s="34"/>
      <c r="G53" s="34"/>
      <c r="H53" s="34"/>
      <c r="I53" s="34"/>
      <c r="J53" s="39"/>
      <c r="K53" s="34"/>
      <c r="L53" s="34"/>
      <c r="M53" s="34"/>
      <c r="N53" s="34"/>
      <c r="O53" s="34"/>
      <c r="P53" s="39"/>
      <c r="R53" s="40"/>
      <c r="S53" s="40"/>
      <c r="T53" s="40"/>
      <c r="U53" s="40"/>
    </row>
    <row r="54" spans="3:21" s="37" customFormat="1" ht="15.75" customHeight="1" x14ac:dyDescent="0.35">
      <c r="D54" s="40"/>
      <c r="E54" s="34"/>
      <c r="F54" s="34"/>
      <c r="G54" s="34"/>
      <c r="H54" s="34"/>
      <c r="I54" s="34"/>
      <c r="J54" s="39"/>
      <c r="K54" s="34"/>
      <c r="L54" s="34"/>
      <c r="M54" s="34"/>
      <c r="N54" s="34"/>
      <c r="O54" s="34"/>
      <c r="P54" s="39"/>
      <c r="R54" s="40"/>
      <c r="S54" s="40"/>
      <c r="T54" s="40"/>
      <c r="U54" s="40"/>
    </row>
    <row r="55" spans="3:21" s="37" customFormat="1" ht="15.75" customHeight="1" x14ac:dyDescent="0.35">
      <c r="D55" s="40"/>
      <c r="E55" s="34"/>
      <c r="F55" s="34"/>
      <c r="G55" s="34"/>
      <c r="H55" s="34"/>
      <c r="I55" s="34"/>
      <c r="J55" s="39"/>
      <c r="K55" s="34"/>
      <c r="L55" s="34"/>
      <c r="M55" s="34"/>
      <c r="N55" s="34"/>
      <c r="O55" s="34"/>
      <c r="P55" s="39"/>
      <c r="R55" s="40"/>
      <c r="S55" s="40"/>
      <c r="T55" s="40"/>
      <c r="U55" s="40"/>
    </row>
    <row r="56" spans="3:21" s="37" customFormat="1" ht="15.75" customHeight="1" x14ac:dyDescent="0.35">
      <c r="D56" s="40"/>
      <c r="E56" s="34"/>
      <c r="F56" s="34"/>
      <c r="G56" s="34"/>
      <c r="H56" s="34"/>
      <c r="I56" s="34"/>
      <c r="J56" s="39"/>
      <c r="K56" s="34"/>
      <c r="L56" s="34"/>
      <c r="M56" s="34"/>
      <c r="N56" s="34"/>
      <c r="O56" s="34"/>
      <c r="P56" s="39"/>
      <c r="R56" s="40"/>
      <c r="S56" s="40"/>
      <c r="T56" s="40"/>
      <c r="U56" s="40"/>
    </row>
    <row r="57" spans="3:21" s="37" customFormat="1" ht="15.75" customHeight="1" x14ac:dyDescent="0.35">
      <c r="D57" s="40"/>
      <c r="E57" s="34"/>
      <c r="F57" s="34"/>
      <c r="G57" s="34"/>
      <c r="H57" s="34"/>
      <c r="I57" s="34"/>
      <c r="J57" s="39"/>
      <c r="K57" s="34"/>
      <c r="L57" s="34"/>
      <c r="M57" s="34"/>
      <c r="N57" s="34"/>
      <c r="O57" s="34"/>
      <c r="P57" s="39"/>
      <c r="R57" s="40"/>
      <c r="S57" s="40"/>
      <c r="T57" s="40"/>
      <c r="U57" s="40"/>
    </row>
    <row r="58" spans="3:21" s="37" customFormat="1" ht="15.75" customHeight="1" x14ac:dyDescent="0.35">
      <c r="D58" s="40"/>
      <c r="E58" s="34"/>
      <c r="F58" s="34"/>
      <c r="G58" s="34"/>
      <c r="H58" s="34"/>
      <c r="I58" s="34"/>
      <c r="J58" s="39"/>
      <c r="K58" s="34"/>
      <c r="L58" s="34"/>
      <c r="M58" s="34"/>
      <c r="N58" s="34"/>
      <c r="O58" s="34"/>
      <c r="P58" s="39"/>
      <c r="R58" s="40"/>
      <c r="S58" s="40"/>
      <c r="T58" s="40"/>
      <c r="U58" s="40"/>
    </row>
    <row r="59" spans="3:21" s="37" customFormat="1" ht="15.75" customHeight="1" x14ac:dyDescent="0.35">
      <c r="D59" s="40"/>
      <c r="E59" s="34"/>
      <c r="F59" s="34"/>
      <c r="G59" s="34"/>
      <c r="H59" s="34"/>
      <c r="I59" s="34"/>
      <c r="J59" s="39"/>
      <c r="K59" s="34"/>
      <c r="L59" s="34"/>
      <c r="M59" s="34"/>
      <c r="N59" s="34"/>
      <c r="O59" s="34"/>
      <c r="P59" s="39"/>
      <c r="R59" s="40"/>
      <c r="S59" s="40"/>
      <c r="T59" s="40"/>
      <c r="U59" s="40"/>
    </row>
    <row r="60" spans="3:21" s="37" customFormat="1" ht="15.75" customHeight="1" x14ac:dyDescent="0.35">
      <c r="D60" s="40"/>
      <c r="E60" s="34"/>
      <c r="F60" s="34"/>
      <c r="G60" s="34"/>
      <c r="H60" s="34"/>
      <c r="I60" s="34"/>
      <c r="J60" s="39"/>
      <c r="K60" s="34"/>
      <c r="L60" s="34"/>
      <c r="M60" s="34"/>
      <c r="N60" s="34"/>
      <c r="O60" s="34"/>
      <c r="P60" s="39"/>
      <c r="R60" s="40"/>
      <c r="S60" s="40"/>
      <c r="T60" s="40"/>
      <c r="U60" s="40"/>
    </row>
    <row r="61" spans="3:21" s="37" customFormat="1" ht="15.75" customHeight="1" x14ac:dyDescent="0.35">
      <c r="D61" s="40"/>
      <c r="E61" s="34"/>
      <c r="F61" s="34"/>
      <c r="G61" s="34"/>
      <c r="H61" s="34"/>
      <c r="I61" s="34"/>
      <c r="J61" s="39"/>
      <c r="K61" s="34"/>
      <c r="L61" s="34"/>
      <c r="M61" s="34"/>
      <c r="N61" s="34"/>
      <c r="O61" s="34"/>
      <c r="P61" s="39"/>
      <c r="R61" s="40"/>
      <c r="S61" s="40"/>
      <c r="T61" s="40"/>
      <c r="U61" s="40"/>
    </row>
    <row r="62" spans="3:21" s="37" customFormat="1" ht="15.75" customHeight="1" x14ac:dyDescent="0.35">
      <c r="D62" s="40"/>
      <c r="E62" s="34"/>
      <c r="F62" s="34"/>
      <c r="G62" s="34"/>
      <c r="H62" s="34"/>
      <c r="I62" s="34"/>
      <c r="J62" s="39"/>
      <c r="K62" s="34"/>
      <c r="L62" s="34"/>
      <c r="M62" s="34"/>
      <c r="N62" s="34"/>
      <c r="O62" s="34"/>
      <c r="P62" s="39"/>
      <c r="R62" s="40"/>
      <c r="S62" s="40"/>
      <c r="T62" s="40"/>
      <c r="U62" s="40"/>
    </row>
    <row r="63" spans="3:21" s="37" customFormat="1" ht="15.75" customHeight="1" x14ac:dyDescent="0.35">
      <c r="D63" s="40"/>
      <c r="E63" s="34"/>
      <c r="F63" s="34"/>
      <c r="G63" s="34"/>
      <c r="H63" s="34"/>
      <c r="I63" s="34"/>
      <c r="J63" s="39"/>
      <c r="K63" s="34"/>
      <c r="L63" s="34"/>
      <c r="M63" s="34"/>
      <c r="N63" s="34"/>
      <c r="O63" s="34"/>
      <c r="P63" s="39"/>
      <c r="R63" s="40"/>
      <c r="S63" s="40"/>
      <c r="T63" s="40"/>
      <c r="U63" s="40"/>
    </row>
    <row r="64" spans="3:21" s="37" customFormat="1" ht="15.75" customHeight="1" x14ac:dyDescent="0.35">
      <c r="D64" s="40"/>
      <c r="E64" s="34"/>
      <c r="F64" s="34"/>
      <c r="G64" s="34"/>
      <c r="H64" s="34"/>
      <c r="I64" s="34"/>
      <c r="J64" s="39"/>
      <c r="K64" s="34"/>
      <c r="L64" s="34"/>
      <c r="M64" s="34"/>
      <c r="N64" s="34"/>
      <c r="O64" s="34"/>
      <c r="P64" s="39"/>
      <c r="R64" s="40"/>
      <c r="S64" s="40"/>
      <c r="T64" s="40"/>
      <c r="U64" s="40"/>
    </row>
    <row r="65" spans="4:21" s="37" customFormat="1" ht="15.75" customHeight="1" x14ac:dyDescent="0.35">
      <c r="D65" s="40"/>
      <c r="E65" s="34"/>
      <c r="F65" s="34"/>
      <c r="G65" s="34"/>
      <c r="H65" s="34"/>
      <c r="I65" s="34"/>
      <c r="J65" s="39"/>
      <c r="K65" s="34"/>
      <c r="L65" s="34"/>
      <c r="M65" s="34"/>
      <c r="N65" s="34"/>
      <c r="O65" s="34"/>
      <c r="P65" s="39"/>
      <c r="R65" s="40"/>
      <c r="S65" s="40"/>
      <c r="T65" s="40"/>
      <c r="U65" s="40"/>
    </row>
    <row r="66" spans="4:21" s="37" customFormat="1" ht="15.75" customHeight="1" x14ac:dyDescent="0.35">
      <c r="D66" s="40"/>
      <c r="E66" s="34"/>
      <c r="F66" s="34"/>
      <c r="G66" s="34"/>
      <c r="H66" s="34"/>
      <c r="I66" s="34"/>
      <c r="J66" s="39"/>
      <c r="K66" s="34"/>
      <c r="L66" s="34"/>
      <c r="M66" s="34"/>
      <c r="N66" s="34"/>
      <c r="O66" s="34"/>
      <c r="P66" s="39"/>
      <c r="R66" s="40"/>
      <c r="S66" s="40"/>
      <c r="T66" s="40"/>
      <c r="U66" s="40"/>
    </row>
    <row r="67" spans="4:21" s="37" customFormat="1" ht="15.75" customHeight="1" x14ac:dyDescent="0.35">
      <c r="D67" s="40"/>
      <c r="E67" s="34"/>
      <c r="F67" s="34"/>
      <c r="G67" s="34"/>
      <c r="H67" s="34"/>
      <c r="I67" s="34"/>
      <c r="J67" s="39"/>
      <c r="K67" s="34"/>
      <c r="L67" s="34"/>
      <c r="M67" s="34"/>
      <c r="N67" s="34"/>
      <c r="O67" s="34"/>
      <c r="P67" s="39"/>
      <c r="R67" s="40"/>
      <c r="S67" s="40"/>
      <c r="T67" s="40"/>
      <c r="U67" s="40"/>
    </row>
    <row r="68" spans="4:21" s="37" customFormat="1" ht="15.75" customHeight="1" x14ac:dyDescent="0.35">
      <c r="D68" s="40"/>
      <c r="E68" s="34"/>
      <c r="F68" s="34"/>
      <c r="G68" s="34"/>
      <c r="H68" s="34"/>
      <c r="I68" s="34"/>
      <c r="J68" s="39"/>
      <c r="K68" s="34"/>
      <c r="L68" s="34"/>
      <c r="M68" s="34"/>
      <c r="N68" s="34"/>
      <c r="O68" s="34"/>
      <c r="P68" s="39"/>
      <c r="R68" s="40"/>
      <c r="S68" s="40"/>
      <c r="T68" s="40"/>
      <c r="U68" s="40"/>
    </row>
    <row r="69" spans="4:21" s="37" customFormat="1" ht="15.75" customHeight="1" x14ac:dyDescent="0.35">
      <c r="D69" s="40"/>
      <c r="E69" s="34"/>
      <c r="F69" s="34"/>
      <c r="G69" s="34"/>
      <c r="H69" s="34"/>
      <c r="I69" s="34"/>
      <c r="J69" s="39"/>
      <c r="K69" s="34"/>
      <c r="L69" s="34"/>
      <c r="M69" s="34"/>
      <c r="N69" s="34"/>
      <c r="O69" s="34"/>
      <c r="P69" s="39"/>
      <c r="R69" s="40"/>
      <c r="S69" s="40"/>
      <c r="T69" s="40"/>
      <c r="U69" s="40"/>
    </row>
    <row r="70" spans="4:21" s="37" customFormat="1" ht="15.75" customHeight="1" x14ac:dyDescent="0.35">
      <c r="D70" s="40"/>
      <c r="E70" s="34"/>
      <c r="F70" s="34"/>
      <c r="G70" s="34"/>
      <c r="H70" s="34"/>
      <c r="I70" s="34"/>
      <c r="J70" s="39"/>
      <c r="K70" s="34"/>
      <c r="L70" s="34"/>
      <c r="M70" s="34"/>
      <c r="N70" s="34"/>
      <c r="O70" s="34"/>
      <c r="P70" s="39"/>
      <c r="R70" s="40"/>
      <c r="S70" s="40"/>
      <c r="T70" s="40"/>
      <c r="U70" s="40"/>
    </row>
    <row r="71" spans="4:21" s="37" customFormat="1" ht="15.75" customHeight="1" x14ac:dyDescent="0.35">
      <c r="D71" s="40"/>
      <c r="E71" s="34"/>
      <c r="F71" s="34"/>
      <c r="G71" s="34"/>
      <c r="H71" s="34"/>
      <c r="I71" s="34"/>
      <c r="J71" s="39"/>
      <c r="K71" s="34"/>
      <c r="L71" s="34"/>
      <c r="M71" s="34"/>
      <c r="N71" s="34"/>
      <c r="O71" s="34"/>
      <c r="P71" s="39"/>
      <c r="R71" s="40"/>
      <c r="S71" s="40"/>
      <c r="T71" s="40"/>
      <c r="U71" s="40"/>
    </row>
    <row r="72" spans="4:21" s="37" customFormat="1" ht="15.75" customHeight="1" x14ac:dyDescent="0.35">
      <c r="D72" s="40"/>
      <c r="E72" s="34"/>
      <c r="F72" s="34"/>
      <c r="G72" s="34"/>
      <c r="H72" s="34"/>
      <c r="I72" s="34"/>
      <c r="J72" s="39"/>
      <c r="K72" s="34"/>
      <c r="L72" s="34"/>
      <c r="M72" s="34"/>
      <c r="N72" s="34"/>
      <c r="O72" s="34"/>
      <c r="P72" s="39"/>
      <c r="R72" s="40"/>
      <c r="S72" s="40"/>
      <c r="T72" s="40"/>
      <c r="U72" s="40"/>
    </row>
    <row r="73" spans="4:21" s="37" customFormat="1" ht="15.75" customHeight="1" x14ac:dyDescent="0.35">
      <c r="D73" s="40"/>
      <c r="E73" s="34"/>
      <c r="F73" s="34"/>
      <c r="G73" s="34"/>
      <c r="H73" s="34"/>
      <c r="I73" s="34"/>
      <c r="J73" s="39"/>
      <c r="K73" s="34"/>
      <c r="L73" s="34"/>
      <c r="M73" s="34"/>
      <c r="N73" s="34"/>
      <c r="O73" s="34"/>
      <c r="P73" s="39"/>
      <c r="R73" s="40"/>
      <c r="S73" s="40"/>
      <c r="T73" s="40"/>
      <c r="U73" s="40"/>
    </row>
    <row r="74" spans="4:21" s="37" customFormat="1" ht="15.75" customHeight="1" x14ac:dyDescent="0.35">
      <c r="D74" s="40"/>
      <c r="E74" s="34"/>
      <c r="F74" s="34"/>
      <c r="G74" s="34"/>
      <c r="H74" s="34"/>
      <c r="I74" s="34"/>
      <c r="J74" s="39"/>
      <c r="K74" s="34"/>
      <c r="L74" s="34"/>
      <c r="M74" s="34"/>
      <c r="N74" s="34"/>
      <c r="O74" s="34"/>
      <c r="P74" s="39"/>
      <c r="R74" s="40"/>
      <c r="S74" s="40"/>
      <c r="T74" s="40"/>
      <c r="U74" s="40"/>
    </row>
    <row r="75" spans="4:21" s="37" customFormat="1" ht="15.75" customHeight="1" x14ac:dyDescent="0.35">
      <c r="D75" s="40"/>
      <c r="E75" s="34"/>
      <c r="F75" s="34"/>
      <c r="G75" s="34"/>
      <c r="H75" s="34"/>
      <c r="I75" s="34"/>
      <c r="J75" s="39"/>
      <c r="K75" s="34"/>
      <c r="L75" s="34"/>
      <c r="M75" s="34"/>
      <c r="N75" s="34"/>
      <c r="O75" s="34"/>
      <c r="P75" s="39"/>
      <c r="R75" s="40"/>
      <c r="S75" s="40"/>
      <c r="T75" s="40"/>
      <c r="U75" s="40"/>
    </row>
    <row r="76" spans="4:21" s="37" customFormat="1" ht="15.75" customHeight="1" x14ac:dyDescent="0.35">
      <c r="D76" s="40"/>
      <c r="E76" s="34"/>
      <c r="F76" s="34"/>
      <c r="G76" s="34"/>
      <c r="H76" s="34"/>
      <c r="I76" s="34"/>
      <c r="J76" s="39"/>
      <c r="K76" s="34"/>
      <c r="L76" s="34"/>
      <c r="M76" s="34"/>
      <c r="N76" s="34"/>
      <c r="O76" s="34"/>
      <c r="P76" s="39"/>
      <c r="R76" s="40"/>
      <c r="S76" s="40"/>
      <c r="T76" s="40"/>
      <c r="U76" s="40"/>
    </row>
    <row r="77" spans="4:21" s="37" customFormat="1" ht="15.75" customHeight="1" x14ac:dyDescent="0.35">
      <c r="D77" s="40"/>
      <c r="E77" s="34"/>
      <c r="F77" s="34"/>
      <c r="G77" s="34"/>
      <c r="H77" s="34"/>
      <c r="I77" s="34"/>
      <c r="J77" s="39"/>
      <c r="K77" s="34"/>
      <c r="L77" s="34"/>
      <c r="M77" s="34"/>
      <c r="N77" s="34"/>
      <c r="O77" s="34"/>
      <c r="P77" s="39"/>
      <c r="R77" s="40"/>
      <c r="S77" s="40"/>
      <c r="T77" s="40"/>
      <c r="U77" s="40"/>
    </row>
    <row r="78" spans="4:21" s="37" customFormat="1" ht="15.75" customHeight="1" x14ac:dyDescent="0.35">
      <c r="D78" s="40"/>
      <c r="E78" s="34"/>
      <c r="F78" s="34"/>
      <c r="G78" s="34"/>
      <c r="H78" s="34"/>
      <c r="I78" s="34"/>
      <c r="J78" s="39"/>
      <c r="K78" s="34"/>
      <c r="L78" s="34"/>
      <c r="M78" s="34"/>
      <c r="N78" s="34"/>
      <c r="O78" s="34"/>
      <c r="P78" s="39"/>
      <c r="R78" s="40"/>
      <c r="S78" s="40"/>
      <c r="T78" s="40"/>
      <c r="U78" s="40"/>
    </row>
    <row r="79" spans="4:21" s="37" customFormat="1" ht="15.75" customHeight="1" x14ac:dyDescent="0.35">
      <c r="D79" s="40"/>
      <c r="E79" s="34"/>
      <c r="F79" s="34"/>
      <c r="G79" s="34"/>
      <c r="H79" s="34"/>
      <c r="I79" s="34"/>
      <c r="J79" s="39"/>
      <c r="K79" s="34"/>
      <c r="L79" s="34"/>
      <c r="M79" s="34"/>
      <c r="N79" s="34"/>
      <c r="O79" s="34"/>
      <c r="P79" s="39"/>
      <c r="R79" s="40"/>
      <c r="S79" s="40"/>
      <c r="T79" s="40"/>
      <c r="U79" s="40"/>
    </row>
    <row r="80" spans="4:21" s="37" customFormat="1" ht="15.75" customHeight="1" x14ac:dyDescent="0.35">
      <c r="D80" s="40"/>
      <c r="E80" s="34"/>
      <c r="F80" s="34"/>
      <c r="G80" s="34"/>
      <c r="H80" s="34"/>
      <c r="I80" s="34"/>
      <c r="J80" s="39"/>
      <c r="K80" s="34"/>
      <c r="L80" s="34"/>
      <c r="M80" s="34"/>
      <c r="N80" s="34"/>
      <c r="O80" s="34"/>
      <c r="P80" s="39"/>
      <c r="R80" s="40"/>
      <c r="S80" s="40"/>
      <c r="T80" s="40"/>
      <c r="U80" s="40"/>
    </row>
    <row r="81" spans="4:21" s="37" customFormat="1" ht="15.75" customHeight="1" x14ac:dyDescent="0.35">
      <c r="D81" s="40"/>
      <c r="E81" s="34"/>
      <c r="F81" s="34"/>
      <c r="G81" s="34"/>
      <c r="H81" s="34"/>
      <c r="I81" s="34"/>
      <c r="J81" s="39"/>
      <c r="K81" s="34"/>
      <c r="L81" s="34"/>
      <c r="M81" s="34"/>
      <c r="N81" s="34"/>
      <c r="O81" s="34"/>
      <c r="P81" s="39"/>
      <c r="R81" s="40"/>
      <c r="S81" s="40"/>
      <c r="T81" s="40"/>
      <c r="U81" s="40"/>
    </row>
    <row r="82" spans="4:21" s="37" customFormat="1" ht="15.75" customHeight="1" x14ac:dyDescent="0.35">
      <c r="D82" s="40"/>
      <c r="E82" s="34"/>
      <c r="F82" s="34"/>
      <c r="G82" s="34"/>
      <c r="H82" s="34"/>
      <c r="I82" s="34"/>
      <c r="J82" s="39"/>
      <c r="K82" s="34"/>
      <c r="L82" s="34"/>
      <c r="M82" s="34"/>
      <c r="N82" s="34"/>
      <c r="O82" s="34"/>
      <c r="P82" s="39"/>
      <c r="R82" s="40"/>
      <c r="S82" s="40"/>
      <c r="T82" s="40"/>
      <c r="U82" s="40"/>
    </row>
    <row r="83" spans="4:21" s="37" customFormat="1" ht="15.75" customHeight="1" x14ac:dyDescent="0.35">
      <c r="D83" s="40"/>
      <c r="E83" s="34"/>
      <c r="F83" s="34"/>
      <c r="G83" s="34"/>
      <c r="H83" s="34"/>
      <c r="I83" s="34"/>
      <c r="J83" s="39"/>
      <c r="K83" s="34"/>
      <c r="L83" s="34"/>
      <c r="M83" s="34"/>
      <c r="N83" s="34"/>
      <c r="O83" s="34"/>
      <c r="P83" s="39"/>
      <c r="R83" s="40"/>
      <c r="S83" s="40"/>
      <c r="T83" s="40"/>
      <c r="U83" s="40"/>
    </row>
    <row r="84" spans="4:21" s="37" customFormat="1" ht="15.75" customHeight="1" x14ac:dyDescent="0.35">
      <c r="D84" s="40"/>
      <c r="E84" s="34"/>
      <c r="F84" s="34"/>
      <c r="G84" s="34"/>
      <c r="H84" s="34"/>
      <c r="I84" s="34"/>
      <c r="J84" s="39"/>
      <c r="K84" s="34"/>
      <c r="L84" s="34"/>
      <c r="M84" s="34"/>
      <c r="N84" s="34"/>
      <c r="O84" s="34"/>
      <c r="P84" s="39"/>
      <c r="R84" s="40"/>
      <c r="S84" s="40"/>
      <c r="T84" s="40"/>
      <c r="U84" s="40"/>
    </row>
    <row r="85" spans="4:21" s="37" customFormat="1" ht="15.75" customHeight="1" x14ac:dyDescent="0.35">
      <c r="D85" s="40"/>
      <c r="E85" s="34"/>
      <c r="F85" s="34"/>
      <c r="G85" s="34"/>
      <c r="H85" s="34"/>
      <c r="I85" s="34"/>
      <c r="J85" s="39"/>
      <c r="K85" s="34"/>
      <c r="L85" s="34"/>
      <c r="M85" s="34"/>
      <c r="N85" s="34"/>
      <c r="O85" s="34"/>
      <c r="P85" s="39"/>
      <c r="R85" s="40"/>
      <c r="S85" s="40"/>
      <c r="T85" s="40"/>
      <c r="U85" s="40"/>
    </row>
    <row r="86" spans="4:21" s="37" customFormat="1" ht="15.75" customHeight="1" x14ac:dyDescent="0.35">
      <c r="D86" s="40"/>
      <c r="E86" s="34"/>
      <c r="F86" s="34"/>
      <c r="G86" s="34"/>
      <c r="H86" s="34"/>
      <c r="I86" s="34"/>
      <c r="J86" s="39"/>
      <c r="K86" s="34"/>
      <c r="L86" s="34"/>
      <c r="M86" s="34"/>
      <c r="N86" s="34"/>
      <c r="O86" s="34"/>
      <c r="P86" s="39"/>
      <c r="R86" s="40"/>
      <c r="S86" s="40"/>
      <c r="T86" s="40"/>
      <c r="U86" s="40"/>
    </row>
    <row r="87" spans="4:21" s="37" customFormat="1" ht="15.75" customHeight="1" x14ac:dyDescent="0.35">
      <c r="D87" s="40"/>
      <c r="E87" s="34"/>
      <c r="F87" s="34"/>
      <c r="G87" s="34"/>
      <c r="H87" s="34"/>
      <c r="I87" s="34"/>
      <c r="J87" s="39"/>
      <c r="K87" s="34"/>
      <c r="L87" s="34"/>
      <c r="M87" s="34"/>
      <c r="N87" s="34"/>
      <c r="O87" s="34"/>
      <c r="P87" s="39"/>
      <c r="R87" s="40"/>
      <c r="S87" s="40"/>
      <c r="T87" s="40"/>
      <c r="U87" s="40"/>
    </row>
    <row r="88" spans="4:21" s="37" customFormat="1" ht="15.75" customHeight="1" x14ac:dyDescent="0.35">
      <c r="D88" s="40"/>
      <c r="E88" s="34"/>
      <c r="F88" s="34"/>
      <c r="G88" s="34"/>
      <c r="H88" s="34"/>
      <c r="I88" s="34"/>
      <c r="J88" s="39"/>
      <c r="K88" s="34"/>
      <c r="L88" s="34"/>
      <c r="M88" s="34"/>
      <c r="N88" s="34"/>
      <c r="O88" s="34"/>
      <c r="P88" s="39"/>
      <c r="R88" s="40"/>
      <c r="S88" s="40"/>
      <c r="T88" s="40"/>
      <c r="U88" s="40"/>
    </row>
    <row r="89" spans="4:21" s="37" customFormat="1" ht="15.75" customHeight="1" x14ac:dyDescent="0.35">
      <c r="D89" s="40"/>
      <c r="E89" s="34"/>
      <c r="F89" s="34"/>
      <c r="G89" s="34"/>
      <c r="H89" s="34"/>
      <c r="I89" s="34"/>
      <c r="J89" s="39"/>
      <c r="K89" s="34"/>
      <c r="L89" s="34"/>
      <c r="M89" s="34"/>
      <c r="N89" s="34"/>
      <c r="O89" s="34"/>
      <c r="P89" s="39"/>
      <c r="R89" s="40"/>
      <c r="S89" s="40"/>
      <c r="T89" s="40"/>
      <c r="U89" s="40"/>
    </row>
    <row r="90" spans="4:21" s="37" customFormat="1" ht="15.75" customHeight="1" x14ac:dyDescent="0.35">
      <c r="D90" s="40"/>
      <c r="E90" s="34"/>
      <c r="F90" s="34"/>
      <c r="G90" s="34"/>
      <c r="H90" s="34"/>
      <c r="I90" s="34"/>
      <c r="J90" s="39"/>
      <c r="K90" s="34"/>
      <c r="L90" s="34"/>
      <c r="M90" s="34"/>
      <c r="N90" s="34"/>
      <c r="O90" s="34"/>
      <c r="P90" s="39"/>
      <c r="R90" s="40"/>
      <c r="S90" s="40"/>
      <c r="T90" s="40"/>
      <c r="U90" s="40"/>
    </row>
    <row r="91" spans="4:21" s="37" customFormat="1" ht="15.75" customHeight="1" x14ac:dyDescent="0.35">
      <c r="D91" s="40"/>
      <c r="E91" s="34"/>
      <c r="F91" s="34"/>
      <c r="G91" s="34"/>
      <c r="H91" s="34"/>
      <c r="I91" s="34"/>
      <c r="J91" s="39"/>
      <c r="K91" s="34"/>
      <c r="L91" s="34"/>
      <c r="M91" s="34"/>
      <c r="N91" s="34"/>
      <c r="O91" s="34"/>
      <c r="P91" s="39"/>
      <c r="R91" s="40"/>
      <c r="S91" s="40"/>
      <c r="T91" s="40"/>
      <c r="U91" s="40"/>
    </row>
    <row r="92" spans="4:21" s="37" customFormat="1" ht="15.75" customHeight="1" x14ac:dyDescent="0.35">
      <c r="D92" s="40"/>
      <c r="E92" s="34"/>
      <c r="F92" s="34"/>
      <c r="G92" s="34"/>
      <c r="H92" s="34"/>
      <c r="I92" s="34"/>
      <c r="J92" s="39"/>
      <c r="K92" s="34"/>
      <c r="L92" s="34"/>
      <c r="M92" s="34"/>
      <c r="N92" s="34"/>
      <c r="O92" s="34"/>
      <c r="P92" s="39"/>
      <c r="R92" s="40"/>
      <c r="S92" s="40"/>
      <c r="T92" s="40"/>
      <c r="U92" s="40"/>
    </row>
    <row r="93" spans="4:21" s="37" customFormat="1" ht="15.75" customHeight="1" x14ac:dyDescent="0.35">
      <c r="D93" s="40"/>
      <c r="E93" s="34"/>
      <c r="F93" s="34"/>
      <c r="G93" s="34"/>
      <c r="H93" s="34"/>
      <c r="I93" s="34"/>
      <c r="J93" s="39"/>
      <c r="K93" s="34"/>
      <c r="L93" s="34"/>
      <c r="M93" s="34"/>
      <c r="N93" s="34"/>
      <c r="O93" s="34"/>
      <c r="P93" s="39"/>
      <c r="R93" s="40"/>
      <c r="S93" s="40"/>
      <c r="T93" s="40"/>
      <c r="U93" s="40"/>
    </row>
    <row r="94" spans="4:21" s="37" customFormat="1" ht="15.75" customHeight="1" x14ac:dyDescent="0.35">
      <c r="D94" s="40"/>
      <c r="E94" s="34"/>
      <c r="F94" s="34"/>
      <c r="G94" s="34"/>
      <c r="H94" s="34"/>
      <c r="I94" s="34"/>
      <c r="J94" s="39"/>
      <c r="K94" s="34"/>
      <c r="L94" s="34"/>
      <c r="M94" s="34"/>
      <c r="N94" s="34"/>
      <c r="O94" s="34"/>
      <c r="P94" s="39"/>
      <c r="R94" s="40"/>
      <c r="S94" s="40"/>
      <c r="T94" s="40"/>
      <c r="U94" s="40"/>
    </row>
    <row r="95" spans="4:21" s="37" customFormat="1" ht="15.75" customHeight="1" x14ac:dyDescent="0.35">
      <c r="D95" s="40"/>
      <c r="E95" s="34"/>
      <c r="F95" s="34"/>
      <c r="G95" s="34"/>
      <c r="H95" s="34"/>
      <c r="I95" s="34"/>
      <c r="J95" s="39"/>
      <c r="K95" s="34"/>
      <c r="L95" s="34"/>
      <c r="M95" s="34"/>
      <c r="N95" s="34"/>
      <c r="O95" s="34"/>
      <c r="P95" s="39"/>
      <c r="R95" s="40"/>
      <c r="S95" s="40"/>
      <c r="T95" s="40"/>
      <c r="U95" s="40"/>
    </row>
    <row r="96" spans="4:21" s="37" customFormat="1" ht="15.75" customHeight="1" x14ac:dyDescent="0.35">
      <c r="D96" s="40"/>
      <c r="E96" s="34"/>
      <c r="F96" s="34"/>
      <c r="G96" s="34"/>
      <c r="H96" s="34"/>
      <c r="I96" s="34"/>
      <c r="J96" s="39"/>
      <c r="K96" s="34"/>
      <c r="L96" s="34"/>
      <c r="M96" s="34"/>
      <c r="N96" s="34"/>
      <c r="O96" s="34"/>
      <c r="P96" s="39"/>
      <c r="R96" s="40"/>
      <c r="S96" s="40"/>
      <c r="T96" s="40"/>
      <c r="U96" s="40"/>
    </row>
    <row r="97" spans="4:21" s="37" customFormat="1" ht="15.75" customHeight="1" x14ac:dyDescent="0.35">
      <c r="D97" s="40"/>
      <c r="E97" s="34"/>
      <c r="F97" s="34"/>
      <c r="G97" s="34"/>
      <c r="H97" s="34"/>
      <c r="I97" s="34"/>
      <c r="J97" s="39"/>
      <c r="K97" s="34"/>
      <c r="L97" s="34"/>
      <c r="M97" s="34"/>
      <c r="N97" s="34"/>
      <c r="O97" s="34"/>
      <c r="P97" s="39"/>
      <c r="R97" s="40"/>
      <c r="S97" s="40"/>
      <c r="T97" s="40"/>
      <c r="U97" s="40"/>
    </row>
    <row r="98" spans="4:21" s="37" customFormat="1" ht="15.75" customHeight="1" x14ac:dyDescent="0.35">
      <c r="D98" s="40"/>
      <c r="E98" s="34"/>
      <c r="F98" s="34"/>
      <c r="G98" s="34"/>
      <c r="H98" s="34"/>
      <c r="I98" s="34"/>
      <c r="J98" s="39"/>
      <c r="K98" s="34"/>
      <c r="L98" s="34"/>
      <c r="M98" s="34"/>
      <c r="N98" s="34"/>
      <c r="O98" s="34"/>
      <c r="P98" s="39"/>
      <c r="R98" s="40"/>
      <c r="S98" s="40"/>
      <c r="T98" s="40"/>
      <c r="U98" s="40"/>
    </row>
    <row r="99" spans="4:21" s="37" customFormat="1" ht="15.75" customHeight="1" x14ac:dyDescent="0.35">
      <c r="D99" s="40"/>
      <c r="E99" s="34"/>
      <c r="F99" s="34"/>
      <c r="G99" s="34"/>
      <c r="H99" s="34"/>
      <c r="I99" s="34"/>
      <c r="J99" s="39"/>
      <c r="K99" s="34"/>
      <c r="L99" s="34"/>
      <c r="M99" s="34"/>
      <c r="N99" s="34"/>
      <c r="O99" s="34"/>
      <c r="P99" s="39"/>
      <c r="R99" s="40"/>
      <c r="S99" s="40"/>
      <c r="T99" s="40"/>
      <c r="U99" s="40"/>
    </row>
    <row r="100" spans="4:21" s="37" customFormat="1" ht="15.75" customHeight="1" x14ac:dyDescent="0.35">
      <c r="D100" s="40"/>
      <c r="E100" s="34"/>
      <c r="F100" s="34"/>
      <c r="G100" s="34"/>
      <c r="H100" s="34"/>
      <c r="I100" s="34"/>
      <c r="J100" s="39"/>
      <c r="K100" s="34"/>
      <c r="L100" s="34"/>
      <c r="M100" s="34"/>
      <c r="N100" s="34"/>
      <c r="O100" s="34"/>
      <c r="P100" s="39"/>
      <c r="R100" s="40"/>
      <c r="S100" s="40"/>
      <c r="T100" s="40"/>
      <c r="U100" s="40"/>
    </row>
    <row r="101" spans="4:21" s="37" customFormat="1" ht="15.75" customHeight="1" x14ac:dyDescent="0.35">
      <c r="D101" s="40"/>
      <c r="E101" s="34"/>
      <c r="F101" s="34"/>
      <c r="G101" s="34"/>
      <c r="H101" s="34"/>
      <c r="I101" s="34"/>
      <c r="J101" s="39"/>
      <c r="K101" s="34"/>
      <c r="L101" s="34"/>
      <c r="M101" s="34"/>
      <c r="N101" s="34"/>
      <c r="O101" s="34"/>
      <c r="P101" s="39"/>
      <c r="R101" s="40"/>
      <c r="S101" s="40"/>
      <c r="T101" s="40"/>
      <c r="U101" s="40"/>
    </row>
    <row r="102" spans="4:21" s="37" customFormat="1" ht="15.75" customHeight="1" x14ac:dyDescent="0.35">
      <c r="D102" s="40"/>
      <c r="E102" s="34"/>
      <c r="F102" s="34"/>
      <c r="G102" s="34"/>
      <c r="H102" s="34"/>
      <c r="I102" s="34"/>
      <c r="J102" s="39"/>
      <c r="K102" s="34"/>
      <c r="L102" s="34"/>
      <c r="M102" s="34"/>
      <c r="N102" s="34"/>
      <c r="O102" s="34"/>
      <c r="P102" s="39"/>
      <c r="R102" s="40"/>
      <c r="S102" s="40"/>
      <c r="T102" s="40"/>
      <c r="U102" s="40"/>
    </row>
    <row r="103" spans="4:21" s="37" customFormat="1" ht="15.75" customHeight="1" x14ac:dyDescent="0.35">
      <c r="D103" s="40"/>
      <c r="E103" s="34"/>
      <c r="F103" s="34"/>
      <c r="G103" s="34"/>
      <c r="H103" s="34"/>
      <c r="I103" s="34"/>
      <c r="J103" s="39"/>
      <c r="K103" s="34"/>
      <c r="L103" s="34"/>
      <c r="M103" s="34"/>
      <c r="N103" s="34"/>
      <c r="O103" s="34"/>
      <c r="P103" s="39"/>
      <c r="R103" s="40"/>
      <c r="S103" s="40"/>
      <c r="T103" s="40"/>
      <c r="U103" s="40"/>
    </row>
    <row r="104" spans="4:21" s="37" customFormat="1" ht="15.75" customHeight="1" x14ac:dyDescent="0.35">
      <c r="D104" s="40"/>
      <c r="E104" s="34"/>
      <c r="F104" s="34"/>
      <c r="G104" s="34"/>
      <c r="H104" s="34"/>
      <c r="I104" s="34"/>
      <c r="J104" s="39"/>
      <c r="K104" s="34"/>
      <c r="L104" s="34"/>
      <c r="M104" s="34"/>
      <c r="N104" s="34"/>
      <c r="O104" s="34"/>
      <c r="P104" s="39"/>
      <c r="R104" s="40"/>
      <c r="S104" s="40"/>
      <c r="T104" s="40"/>
      <c r="U104" s="40"/>
    </row>
    <row r="105" spans="4:21" s="37" customFormat="1" ht="15.75" customHeight="1" x14ac:dyDescent="0.35">
      <c r="D105" s="40"/>
      <c r="E105" s="34"/>
      <c r="F105" s="34"/>
      <c r="G105" s="34"/>
      <c r="H105" s="34"/>
      <c r="I105" s="34"/>
      <c r="J105" s="39"/>
      <c r="K105" s="34"/>
      <c r="L105" s="34"/>
      <c r="M105" s="34"/>
      <c r="N105" s="34"/>
      <c r="O105" s="34"/>
      <c r="P105" s="39"/>
      <c r="R105" s="40"/>
      <c r="S105" s="40"/>
      <c r="T105" s="40"/>
      <c r="U105" s="40"/>
    </row>
    <row r="106" spans="4:21" s="37" customFormat="1" ht="15.75" customHeight="1" x14ac:dyDescent="0.35">
      <c r="D106" s="40"/>
      <c r="E106" s="34"/>
      <c r="F106" s="34"/>
      <c r="G106" s="34"/>
      <c r="H106" s="34"/>
      <c r="I106" s="34"/>
      <c r="J106" s="39"/>
      <c r="K106" s="34"/>
      <c r="L106" s="34"/>
      <c r="M106" s="34"/>
      <c r="N106" s="34"/>
      <c r="O106" s="34"/>
      <c r="P106" s="39"/>
      <c r="R106" s="40"/>
      <c r="S106" s="40"/>
      <c r="T106" s="40"/>
      <c r="U106" s="40"/>
    </row>
    <row r="107" spans="4:21" s="37" customFormat="1" ht="15.75" customHeight="1" x14ac:dyDescent="0.35">
      <c r="D107" s="40"/>
      <c r="E107" s="34"/>
      <c r="F107" s="34"/>
      <c r="G107" s="34"/>
      <c r="H107" s="34"/>
      <c r="I107" s="34"/>
      <c r="J107" s="39"/>
      <c r="K107" s="34"/>
      <c r="L107" s="34"/>
      <c r="M107" s="34"/>
      <c r="N107" s="34"/>
      <c r="O107" s="34"/>
      <c r="P107" s="39"/>
      <c r="R107" s="40"/>
      <c r="S107" s="40"/>
      <c r="T107" s="40"/>
      <c r="U107" s="40"/>
    </row>
    <row r="108" spans="4:21" s="37" customFormat="1" ht="15.75" customHeight="1" x14ac:dyDescent="0.35">
      <c r="D108" s="40"/>
      <c r="E108" s="34"/>
      <c r="F108" s="34"/>
      <c r="G108" s="34"/>
      <c r="H108" s="34"/>
      <c r="I108" s="34"/>
      <c r="J108" s="39"/>
      <c r="K108" s="34"/>
      <c r="L108" s="34"/>
      <c r="M108" s="34"/>
      <c r="N108" s="34"/>
      <c r="O108" s="34"/>
      <c r="P108" s="39"/>
      <c r="R108" s="40"/>
      <c r="S108" s="40"/>
      <c r="T108" s="40"/>
      <c r="U108" s="40"/>
    </row>
    <row r="109" spans="4:21" s="37" customFormat="1" ht="15.75" customHeight="1" x14ac:dyDescent="0.35">
      <c r="D109" s="40"/>
      <c r="E109" s="34"/>
      <c r="F109" s="34"/>
      <c r="G109" s="34"/>
      <c r="H109" s="34"/>
      <c r="I109" s="34"/>
      <c r="J109" s="39"/>
      <c r="K109" s="34"/>
      <c r="L109" s="34"/>
      <c r="M109" s="34"/>
      <c r="N109" s="34"/>
      <c r="O109" s="34"/>
      <c r="P109" s="39"/>
      <c r="R109" s="40"/>
      <c r="S109" s="40"/>
      <c r="T109" s="40"/>
      <c r="U109" s="40"/>
    </row>
    <row r="110" spans="4:21" s="37" customFormat="1" ht="15.75" customHeight="1" x14ac:dyDescent="0.35">
      <c r="D110" s="40"/>
      <c r="E110" s="34"/>
      <c r="F110" s="34"/>
      <c r="G110" s="34"/>
      <c r="H110" s="34"/>
      <c r="I110" s="34"/>
      <c r="J110" s="39"/>
      <c r="K110" s="34"/>
      <c r="L110" s="34"/>
      <c r="M110" s="34"/>
      <c r="N110" s="34"/>
      <c r="O110" s="34"/>
      <c r="P110" s="39"/>
      <c r="R110" s="40"/>
      <c r="S110" s="40"/>
      <c r="T110" s="40"/>
      <c r="U110" s="40"/>
    </row>
    <row r="111" spans="4:21" s="37" customFormat="1" ht="15.75" customHeight="1" x14ac:dyDescent="0.35">
      <c r="D111" s="40"/>
      <c r="E111" s="34"/>
      <c r="F111" s="34"/>
      <c r="G111" s="34"/>
      <c r="H111" s="34"/>
      <c r="I111" s="34"/>
      <c r="J111" s="39"/>
      <c r="K111" s="34"/>
      <c r="L111" s="34"/>
      <c r="M111" s="34"/>
      <c r="N111" s="34"/>
      <c r="O111" s="34"/>
      <c r="P111" s="39"/>
      <c r="R111" s="40"/>
      <c r="S111" s="40"/>
      <c r="T111" s="40"/>
      <c r="U111" s="40"/>
    </row>
    <row r="112" spans="4:21" s="37" customFormat="1" ht="15.75" customHeight="1" x14ac:dyDescent="0.35">
      <c r="D112" s="40"/>
      <c r="E112" s="34"/>
      <c r="F112" s="34"/>
      <c r="G112" s="34"/>
      <c r="H112" s="34"/>
      <c r="I112" s="34"/>
      <c r="J112" s="39"/>
      <c r="K112" s="34"/>
      <c r="L112" s="34"/>
      <c r="M112" s="34"/>
      <c r="N112" s="34"/>
      <c r="O112" s="34"/>
      <c r="P112" s="39"/>
      <c r="R112" s="40"/>
      <c r="S112" s="40"/>
      <c r="T112" s="40"/>
      <c r="U112" s="40"/>
    </row>
    <row r="113" spans="4:21" s="37" customFormat="1" ht="15.75" customHeight="1" x14ac:dyDescent="0.35">
      <c r="D113" s="40"/>
      <c r="E113" s="34"/>
      <c r="F113" s="34"/>
      <c r="G113" s="34"/>
      <c r="H113" s="34"/>
      <c r="I113" s="34"/>
      <c r="J113" s="39"/>
      <c r="K113" s="34"/>
      <c r="L113" s="34"/>
      <c r="M113" s="34"/>
      <c r="N113" s="34"/>
      <c r="O113" s="34"/>
      <c r="P113" s="39"/>
      <c r="R113" s="40"/>
      <c r="S113" s="40"/>
      <c r="T113" s="40"/>
      <c r="U113" s="40"/>
    </row>
    <row r="114" spans="4:21" s="37" customFormat="1" ht="15.75" customHeight="1" x14ac:dyDescent="0.35">
      <c r="D114" s="40"/>
      <c r="E114" s="34"/>
      <c r="F114" s="34"/>
      <c r="G114" s="34"/>
      <c r="H114" s="34"/>
      <c r="I114" s="34"/>
      <c r="J114" s="39"/>
      <c r="K114" s="34"/>
      <c r="L114" s="34"/>
      <c r="M114" s="34"/>
      <c r="N114" s="34"/>
      <c r="O114" s="34"/>
      <c r="P114" s="39"/>
      <c r="R114" s="40"/>
      <c r="S114" s="40"/>
      <c r="T114" s="40"/>
      <c r="U114" s="40"/>
    </row>
    <row r="115" spans="4:21" s="37" customFormat="1" ht="15.75" customHeight="1" x14ac:dyDescent="0.35">
      <c r="D115" s="40"/>
      <c r="E115" s="34"/>
      <c r="F115" s="34"/>
      <c r="G115" s="34"/>
      <c r="H115" s="34"/>
      <c r="I115" s="34"/>
      <c r="J115" s="39"/>
      <c r="K115" s="34"/>
      <c r="L115" s="34"/>
      <c r="M115" s="34"/>
      <c r="N115" s="34"/>
      <c r="O115" s="34"/>
      <c r="P115" s="39"/>
      <c r="R115" s="40"/>
      <c r="S115" s="40"/>
      <c r="T115" s="40"/>
      <c r="U115" s="40"/>
    </row>
    <row r="116" spans="4:21" s="37" customFormat="1" ht="15.75" customHeight="1" x14ac:dyDescent="0.35">
      <c r="D116" s="40"/>
      <c r="E116" s="34"/>
      <c r="F116" s="34"/>
      <c r="G116" s="34"/>
      <c r="H116" s="34"/>
      <c r="I116" s="34"/>
      <c r="J116" s="39"/>
      <c r="K116" s="34"/>
      <c r="L116" s="34"/>
      <c r="M116" s="34"/>
      <c r="N116" s="34"/>
      <c r="O116" s="34"/>
      <c r="P116" s="39"/>
      <c r="R116" s="40"/>
      <c r="S116" s="40"/>
      <c r="T116" s="40"/>
      <c r="U116" s="40"/>
    </row>
    <row r="117" spans="4:21" s="37" customFormat="1" ht="15.75" customHeight="1" x14ac:dyDescent="0.35">
      <c r="D117" s="40"/>
      <c r="E117" s="34"/>
      <c r="F117" s="34"/>
      <c r="G117" s="34"/>
      <c r="H117" s="34"/>
      <c r="I117" s="34"/>
      <c r="J117" s="39"/>
      <c r="K117" s="34"/>
      <c r="L117" s="34"/>
      <c r="M117" s="34"/>
      <c r="N117" s="34"/>
      <c r="O117" s="34"/>
      <c r="P117" s="39"/>
      <c r="R117" s="40"/>
      <c r="S117" s="40"/>
      <c r="T117" s="40"/>
      <c r="U117" s="40"/>
    </row>
    <row r="118" spans="4:21" s="37" customFormat="1" ht="15.75" customHeight="1" x14ac:dyDescent="0.35">
      <c r="D118" s="40"/>
      <c r="E118" s="34"/>
      <c r="F118" s="34"/>
      <c r="G118" s="34"/>
      <c r="H118" s="34"/>
      <c r="I118" s="34"/>
      <c r="J118" s="39"/>
      <c r="K118" s="34"/>
      <c r="L118" s="34"/>
      <c r="M118" s="34"/>
      <c r="N118" s="34"/>
      <c r="O118" s="34"/>
      <c r="P118" s="39"/>
      <c r="R118" s="40"/>
      <c r="S118" s="40"/>
      <c r="T118" s="40"/>
      <c r="U118" s="40"/>
    </row>
    <row r="119" spans="4:21" s="37" customFormat="1" ht="15.75" customHeight="1" x14ac:dyDescent="0.35">
      <c r="D119" s="40"/>
      <c r="E119" s="34"/>
      <c r="F119" s="34"/>
      <c r="G119" s="34"/>
      <c r="H119" s="34"/>
      <c r="I119" s="34"/>
      <c r="J119" s="39"/>
      <c r="K119" s="34"/>
      <c r="L119" s="34"/>
      <c r="M119" s="34"/>
      <c r="N119" s="34"/>
      <c r="O119" s="34"/>
      <c r="P119" s="39"/>
      <c r="R119" s="40"/>
      <c r="S119" s="40"/>
      <c r="T119" s="40"/>
      <c r="U119" s="40"/>
    </row>
    <row r="120" spans="4:21" s="37" customFormat="1" ht="15.75" customHeight="1" x14ac:dyDescent="0.35">
      <c r="D120" s="40"/>
      <c r="E120" s="34"/>
      <c r="F120" s="34"/>
      <c r="G120" s="34"/>
      <c r="H120" s="34"/>
      <c r="I120" s="34"/>
      <c r="J120" s="39"/>
      <c r="K120" s="34"/>
      <c r="L120" s="34"/>
      <c r="M120" s="34"/>
      <c r="N120" s="34"/>
      <c r="O120" s="34"/>
      <c r="P120" s="39"/>
      <c r="R120" s="40"/>
      <c r="S120" s="40"/>
      <c r="T120" s="40"/>
      <c r="U120" s="40"/>
    </row>
    <row r="121" spans="4:21" s="37" customFormat="1" ht="15.75" customHeight="1" x14ac:dyDescent="0.35">
      <c r="D121" s="40"/>
      <c r="E121" s="34"/>
      <c r="F121" s="34"/>
      <c r="G121" s="34"/>
      <c r="H121" s="34"/>
      <c r="I121" s="34"/>
      <c r="J121" s="39"/>
      <c r="K121" s="34"/>
      <c r="L121" s="34"/>
      <c r="M121" s="34"/>
      <c r="N121" s="34"/>
      <c r="O121" s="34"/>
      <c r="P121" s="39"/>
      <c r="R121" s="40"/>
      <c r="S121" s="40"/>
      <c r="T121" s="40"/>
      <c r="U121" s="40"/>
    </row>
    <row r="122" spans="4:21" s="37" customFormat="1" ht="15.75" customHeight="1" x14ac:dyDescent="0.35">
      <c r="D122" s="40"/>
      <c r="E122" s="34"/>
      <c r="F122" s="34"/>
      <c r="G122" s="34"/>
      <c r="H122" s="34"/>
      <c r="I122" s="34"/>
      <c r="J122" s="39"/>
      <c r="K122" s="34"/>
      <c r="L122" s="34"/>
      <c r="M122" s="34"/>
      <c r="N122" s="34"/>
      <c r="O122" s="34"/>
      <c r="P122" s="39"/>
      <c r="R122" s="40"/>
      <c r="S122" s="40"/>
      <c r="T122" s="40"/>
      <c r="U122" s="40"/>
    </row>
    <row r="123" spans="4:21" s="37" customFormat="1" ht="15.75" customHeight="1" x14ac:dyDescent="0.35">
      <c r="D123" s="40"/>
      <c r="E123" s="34"/>
      <c r="F123" s="34"/>
      <c r="G123" s="34"/>
      <c r="H123" s="34"/>
      <c r="I123" s="34"/>
      <c r="J123" s="39"/>
      <c r="K123" s="34"/>
      <c r="L123" s="34"/>
      <c r="M123" s="34"/>
      <c r="N123" s="34"/>
      <c r="O123" s="34"/>
      <c r="P123" s="39"/>
      <c r="R123" s="40"/>
      <c r="S123" s="40"/>
      <c r="T123" s="40"/>
      <c r="U123" s="40"/>
    </row>
    <row r="124" spans="4:21" s="37" customFormat="1" ht="15.75" customHeight="1" x14ac:dyDescent="0.35">
      <c r="D124" s="40"/>
      <c r="E124" s="34"/>
      <c r="F124" s="34"/>
      <c r="G124" s="34"/>
      <c r="H124" s="34"/>
      <c r="I124" s="34"/>
      <c r="J124" s="39"/>
      <c r="K124" s="34"/>
      <c r="L124" s="34"/>
      <c r="M124" s="34"/>
      <c r="N124" s="34"/>
      <c r="O124" s="34"/>
      <c r="P124" s="39"/>
      <c r="R124" s="40"/>
      <c r="S124" s="40"/>
      <c r="T124" s="40"/>
      <c r="U124" s="40"/>
    </row>
    <row r="125" spans="4:21" s="37" customFormat="1" ht="15.75" customHeight="1" x14ac:dyDescent="0.35">
      <c r="D125" s="40"/>
      <c r="E125" s="34"/>
      <c r="F125" s="34"/>
      <c r="G125" s="34"/>
      <c r="H125" s="34"/>
      <c r="I125" s="34"/>
      <c r="J125" s="39"/>
      <c r="K125" s="34"/>
      <c r="L125" s="34"/>
      <c r="M125" s="34"/>
      <c r="N125" s="34"/>
      <c r="O125" s="34"/>
      <c r="P125" s="39"/>
      <c r="R125" s="40"/>
      <c r="S125" s="40"/>
      <c r="T125" s="40"/>
      <c r="U125" s="40"/>
    </row>
    <row r="126" spans="4:21" s="37" customFormat="1" ht="15.75" customHeight="1" x14ac:dyDescent="0.35">
      <c r="D126" s="40"/>
      <c r="E126" s="34"/>
      <c r="F126" s="34"/>
      <c r="G126" s="34"/>
      <c r="H126" s="34"/>
      <c r="I126" s="34"/>
      <c r="J126" s="39"/>
      <c r="K126" s="34"/>
      <c r="L126" s="34"/>
      <c r="M126" s="34"/>
      <c r="N126" s="34"/>
      <c r="O126" s="34"/>
      <c r="P126" s="39"/>
      <c r="R126" s="40"/>
      <c r="S126" s="40"/>
      <c r="T126" s="40"/>
      <c r="U126" s="40"/>
    </row>
    <row r="127" spans="4:21" s="37" customFormat="1" ht="15.75" customHeight="1" x14ac:dyDescent="0.35">
      <c r="D127" s="40"/>
      <c r="E127" s="34"/>
      <c r="F127" s="34"/>
      <c r="G127" s="34"/>
      <c r="H127" s="34"/>
      <c r="I127" s="34"/>
      <c r="J127" s="39"/>
      <c r="K127" s="34"/>
      <c r="L127" s="34"/>
      <c r="M127" s="34"/>
      <c r="N127" s="34"/>
      <c r="O127" s="34"/>
      <c r="P127" s="39"/>
      <c r="R127" s="40"/>
      <c r="S127" s="40"/>
      <c r="T127" s="40"/>
      <c r="U127" s="40"/>
    </row>
    <row r="128" spans="4:21" s="37" customFormat="1" ht="15.75" customHeight="1" x14ac:dyDescent="0.35">
      <c r="D128" s="40"/>
      <c r="E128" s="34"/>
      <c r="F128" s="34"/>
      <c r="G128" s="34"/>
      <c r="H128" s="34"/>
      <c r="I128" s="34"/>
      <c r="J128" s="39"/>
      <c r="K128" s="34"/>
      <c r="L128" s="34"/>
      <c r="M128" s="34"/>
      <c r="N128" s="34"/>
      <c r="O128" s="34"/>
      <c r="P128" s="39"/>
      <c r="R128" s="40"/>
      <c r="S128" s="40"/>
      <c r="T128" s="40"/>
      <c r="U128" s="40"/>
    </row>
    <row r="129" spans="4:21" s="37" customFormat="1" ht="15.75" customHeight="1" x14ac:dyDescent="0.35">
      <c r="D129" s="40"/>
      <c r="E129" s="34"/>
      <c r="F129" s="34"/>
      <c r="G129" s="34"/>
      <c r="H129" s="34"/>
      <c r="I129" s="34"/>
      <c r="J129" s="39"/>
      <c r="K129" s="34"/>
      <c r="L129" s="34"/>
      <c r="M129" s="34"/>
      <c r="N129" s="34"/>
      <c r="O129" s="34"/>
      <c r="P129" s="39"/>
      <c r="R129" s="40"/>
      <c r="S129" s="40"/>
      <c r="T129" s="40"/>
      <c r="U129" s="40"/>
    </row>
    <row r="130" spans="4:21" s="37" customFormat="1" ht="15.75" customHeight="1" x14ac:dyDescent="0.35">
      <c r="D130" s="40"/>
      <c r="E130" s="34"/>
      <c r="F130" s="34"/>
      <c r="G130" s="34"/>
      <c r="H130" s="34"/>
      <c r="I130" s="34"/>
      <c r="J130" s="39"/>
      <c r="K130" s="34"/>
      <c r="L130" s="34"/>
      <c r="M130" s="34"/>
      <c r="N130" s="34"/>
      <c r="O130" s="34"/>
      <c r="P130" s="39"/>
      <c r="R130" s="40"/>
      <c r="S130" s="40"/>
      <c r="T130" s="40"/>
      <c r="U130" s="40"/>
    </row>
    <row r="131" spans="4:21" s="37" customFormat="1" ht="15.75" customHeight="1" x14ac:dyDescent="0.35">
      <c r="D131" s="40"/>
      <c r="E131" s="34"/>
      <c r="F131" s="34"/>
      <c r="G131" s="34"/>
      <c r="H131" s="34"/>
      <c r="I131" s="34"/>
      <c r="J131" s="39"/>
      <c r="K131" s="34"/>
      <c r="L131" s="34"/>
      <c r="M131" s="34"/>
      <c r="N131" s="34"/>
      <c r="O131" s="34"/>
      <c r="P131" s="39"/>
      <c r="R131" s="40"/>
      <c r="S131" s="40"/>
      <c r="T131" s="40"/>
      <c r="U131" s="40"/>
    </row>
    <row r="132" spans="4:21" s="37" customFormat="1" ht="15.75" customHeight="1" x14ac:dyDescent="0.35">
      <c r="D132" s="40"/>
      <c r="E132" s="34"/>
      <c r="F132" s="34"/>
      <c r="G132" s="34"/>
      <c r="H132" s="34"/>
      <c r="I132" s="34"/>
      <c r="J132" s="39"/>
      <c r="K132" s="34"/>
      <c r="L132" s="34"/>
      <c r="M132" s="34"/>
      <c r="N132" s="34"/>
      <c r="O132" s="34"/>
      <c r="P132" s="39"/>
      <c r="R132" s="40"/>
      <c r="S132" s="40"/>
      <c r="T132" s="40"/>
      <c r="U132" s="40"/>
    </row>
    <row r="133" spans="4:21" s="37" customFormat="1" ht="15.75" customHeight="1" x14ac:dyDescent="0.35">
      <c r="D133" s="40"/>
      <c r="E133" s="34"/>
      <c r="F133" s="34"/>
      <c r="G133" s="34"/>
      <c r="H133" s="34"/>
      <c r="I133" s="34"/>
      <c r="J133" s="39"/>
      <c r="K133" s="34"/>
      <c r="L133" s="34"/>
      <c r="M133" s="34"/>
      <c r="N133" s="34"/>
      <c r="O133" s="34"/>
      <c r="P133" s="39"/>
      <c r="R133" s="40"/>
      <c r="S133" s="40"/>
      <c r="T133" s="40"/>
      <c r="U133" s="40"/>
    </row>
    <row r="134" spans="4:21" s="37" customFormat="1" ht="15.75" customHeight="1" x14ac:dyDescent="0.35">
      <c r="D134" s="40"/>
      <c r="E134" s="34"/>
      <c r="F134" s="34"/>
      <c r="G134" s="34"/>
      <c r="H134" s="34"/>
      <c r="I134" s="34"/>
      <c r="J134" s="39"/>
      <c r="K134" s="34"/>
      <c r="L134" s="34"/>
      <c r="M134" s="34"/>
      <c r="N134" s="34"/>
      <c r="O134" s="34"/>
      <c r="P134" s="39"/>
      <c r="R134" s="40"/>
      <c r="S134" s="40"/>
      <c r="T134" s="40"/>
      <c r="U134" s="40"/>
    </row>
    <row r="135" spans="4:21" s="37" customFormat="1" ht="15.75" customHeight="1" x14ac:dyDescent="0.35">
      <c r="D135" s="40"/>
      <c r="E135" s="34"/>
      <c r="F135" s="34"/>
      <c r="G135" s="34"/>
      <c r="H135" s="34"/>
      <c r="I135" s="34"/>
      <c r="J135" s="39"/>
      <c r="K135" s="34"/>
      <c r="L135" s="34"/>
      <c r="M135" s="34"/>
      <c r="N135" s="34"/>
      <c r="O135" s="34"/>
      <c r="P135" s="39"/>
      <c r="R135" s="40"/>
      <c r="S135" s="40"/>
      <c r="T135" s="40"/>
      <c r="U135" s="40"/>
    </row>
    <row r="136" spans="4:21" s="37" customFormat="1" ht="15.75" customHeight="1" x14ac:dyDescent="0.35">
      <c r="D136" s="40"/>
      <c r="E136" s="34"/>
      <c r="F136" s="34"/>
      <c r="G136" s="34"/>
      <c r="H136" s="34"/>
      <c r="I136" s="34"/>
      <c r="J136" s="39"/>
      <c r="K136" s="34"/>
      <c r="L136" s="34"/>
      <c r="M136" s="34"/>
      <c r="N136" s="34"/>
      <c r="O136" s="34"/>
      <c r="P136" s="39"/>
      <c r="R136" s="40"/>
      <c r="S136" s="40"/>
      <c r="T136" s="40"/>
      <c r="U136" s="40"/>
    </row>
    <row r="137" spans="4:21" s="37" customFormat="1" ht="15.75" customHeight="1" x14ac:dyDescent="0.35">
      <c r="D137" s="40"/>
      <c r="E137" s="34"/>
      <c r="F137" s="34"/>
      <c r="G137" s="34"/>
      <c r="H137" s="34"/>
      <c r="I137" s="34"/>
      <c r="J137" s="39"/>
      <c r="K137" s="34"/>
      <c r="L137" s="34"/>
      <c r="M137" s="34"/>
      <c r="N137" s="34"/>
      <c r="O137" s="34"/>
      <c r="P137" s="39"/>
      <c r="R137" s="40"/>
      <c r="S137" s="40"/>
      <c r="T137" s="40"/>
      <c r="U137" s="40"/>
    </row>
    <row r="138" spans="4:21" s="37" customFormat="1" ht="15.75" customHeight="1" x14ac:dyDescent="0.35">
      <c r="D138" s="40"/>
      <c r="E138" s="34"/>
      <c r="F138" s="34"/>
      <c r="G138" s="34"/>
      <c r="H138" s="34"/>
      <c r="I138" s="34"/>
      <c r="J138" s="39"/>
      <c r="K138" s="34"/>
      <c r="L138" s="34"/>
      <c r="M138" s="34"/>
      <c r="N138" s="34"/>
      <c r="O138" s="34"/>
      <c r="P138" s="39"/>
      <c r="R138" s="40"/>
      <c r="S138" s="40"/>
      <c r="T138" s="40"/>
      <c r="U138" s="40"/>
    </row>
    <row r="139" spans="4:21" s="37" customFormat="1" ht="15.75" customHeight="1" x14ac:dyDescent="0.35">
      <c r="D139" s="40"/>
      <c r="E139" s="34"/>
      <c r="F139" s="34"/>
      <c r="G139" s="34"/>
      <c r="H139" s="34"/>
      <c r="I139" s="34"/>
      <c r="J139" s="39"/>
      <c r="K139" s="34"/>
      <c r="L139" s="34"/>
      <c r="M139" s="34"/>
      <c r="N139" s="34"/>
      <c r="O139" s="34"/>
      <c r="P139" s="39"/>
      <c r="R139" s="40"/>
      <c r="S139" s="40"/>
      <c r="T139" s="40"/>
      <c r="U139" s="40"/>
    </row>
    <row r="140" spans="4:21" s="37" customFormat="1" ht="15.75" customHeight="1" x14ac:dyDescent="0.35">
      <c r="D140" s="40"/>
      <c r="E140" s="34"/>
      <c r="F140" s="34"/>
      <c r="G140" s="34"/>
      <c r="H140" s="34"/>
      <c r="I140" s="34"/>
      <c r="J140" s="39"/>
      <c r="K140" s="34"/>
      <c r="L140" s="34"/>
      <c r="M140" s="34"/>
      <c r="N140" s="34"/>
      <c r="O140" s="34"/>
      <c r="P140" s="39"/>
      <c r="R140" s="40"/>
      <c r="S140" s="40"/>
      <c r="T140" s="40"/>
      <c r="U140" s="40"/>
    </row>
    <row r="141" spans="4:21" s="37" customFormat="1" ht="15.75" customHeight="1" x14ac:dyDescent="0.35">
      <c r="D141" s="40"/>
      <c r="E141" s="34"/>
      <c r="F141" s="34"/>
      <c r="G141" s="34"/>
      <c r="H141" s="34"/>
      <c r="I141" s="34"/>
      <c r="J141" s="39"/>
      <c r="K141" s="34"/>
      <c r="L141" s="34"/>
      <c r="M141" s="34"/>
      <c r="N141" s="34"/>
      <c r="O141" s="34"/>
      <c r="P141" s="39"/>
      <c r="R141" s="40"/>
      <c r="S141" s="40"/>
      <c r="T141" s="40"/>
      <c r="U141" s="40"/>
    </row>
    <row r="142" spans="4:21" s="37" customFormat="1" ht="15.75" customHeight="1" x14ac:dyDescent="0.35">
      <c r="D142" s="40"/>
      <c r="E142" s="34"/>
      <c r="F142" s="34"/>
      <c r="G142" s="34"/>
      <c r="H142" s="34"/>
      <c r="I142" s="34"/>
      <c r="J142" s="39"/>
      <c r="K142" s="34"/>
      <c r="L142" s="34"/>
      <c r="M142" s="34"/>
      <c r="N142" s="34"/>
      <c r="O142" s="34"/>
      <c r="P142" s="39"/>
      <c r="R142" s="40"/>
      <c r="S142" s="40"/>
      <c r="T142" s="40"/>
      <c r="U142" s="40"/>
    </row>
    <row r="143" spans="4:21" s="37" customFormat="1" ht="15.75" customHeight="1" x14ac:dyDescent="0.35">
      <c r="D143" s="40"/>
      <c r="E143" s="34"/>
      <c r="F143" s="34"/>
      <c r="G143" s="34"/>
      <c r="H143" s="34"/>
      <c r="I143" s="34"/>
      <c r="J143" s="39"/>
      <c r="K143" s="34"/>
      <c r="L143" s="34"/>
      <c r="M143" s="34"/>
      <c r="N143" s="34"/>
      <c r="O143" s="34"/>
      <c r="P143" s="39"/>
      <c r="R143" s="40"/>
      <c r="S143" s="40"/>
      <c r="T143" s="40"/>
      <c r="U143" s="40"/>
    </row>
    <row r="144" spans="4:21" s="37" customFormat="1" ht="15.75" customHeight="1" x14ac:dyDescent="0.35">
      <c r="D144" s="40"/>
      <c r="E144" s="34"/>
      <c r="F144" s="34"/>
      <c r="G144" s="34"/>
      <c r="H144" s="34"/>
      <c r="I144" s="34"/>
      <c r="J144" s="39"/>
      <c r="K144" s="34"/>
      <c r="L144" s="34"/>
      <c r="M144" s="34"/>
      <c r="N144" s="34"/>
      <c r="O144" s="34"/>
      <c r="P144" s="39"/>
      <c r="R144" s="40"/>
      <c r="S144" s="40"/>
      <c r="T144" s="40"/>
      <c r="U144" s="40"/>
    </row>
    <row r="145" spans="4:21" s="37" customFormat="1" ht="15.75" customHeight="1" x14ac:dyDescent="0.35">
      <c r="D145" s="40"/>
      <c r="E145" s="34"/>
      <c r="F145" s="34"/>
      <c r="G145" s="34"/>
      <c r="H145" s="34"/>
      <c r="I145" s="34"/>
      <c r="J145" s="39"/>
      <c r="K145" s="34"/>
      <c r="L145" s="34"/>
      <c r="M145" s="34"/>
      <c r="N145" s="34"/>
      <c r="O145" s="34"/>
      <c r="P145" s="39"/>
      <c r="R145" s="40"/>
      <c r="S145" s="40"/>
      <c r="T145" s="40"/>
      <c r="U145" s="40"/>
    </row>
    <row r="146" spans="4:21" s="37" customFormat="1" ht="15.75" customHeight="1" x14ac:dyDescent="0.35">
      <c r="D146" s="40"/>
      <c r="E146" s="34"/>
      <c r="F146" s="34"/>
      <c r="G146" s="34"/>
      <c r="H146" s="34"/>
      <c r="I146" s="34"/>
      <c r="J146" s="39"/>
      <c r="K146" s="34"/>
      <c r="L146" s="34"/>
      <c r="M146" s="34"/>
      <c r="N146" s="34"/>
      <c r="O146" s="34"/>
      <c r="P146" s="39"/>
      <c r="R146" s="40"/>
      <c r="S146" s="40"/>
      <c r="T146" s="40"/>
      <c r="U146" s="40"/>
    </row>
    <row r="147" spans="4:21" s="37" customFormat="1" ht="15.75" customHeight="1" x14ac:dyDescent="0.35">
      <c r="D147" s="40"/>
      <c r="E147" s="34"/>
      <c r="F147" s="34"/>
      <c r="G147" s="34"/>
      <c r="H147" s="34"/>
      <c r="I147" s="34"/>
      <c r="J147" s="39"/>
      <c r="K147" s="34"/>
      <c r="L147" s="34"/>
      <c r="M147" s="34"/>
      <c r="N147" s="34"/>
      <c r="O147" s="34"/>
      <c r="P147" s="39"/>
      <c r="R147" s="40"/>
      <c r="S147" s="40"/>
      <c r="T147" s="40"/>
      <c r="U147" s="40"/>
    </row>
    <row r="148" spans="4:21" s="37" customFormat="1" ht="15.75" customHeight="1" x14ac:dyDescent="0.35">
      <c r="D148" s="40"/>
      <c r="E148" s="34"/>
      <c r="F148" s="34"/>
      <c r="G148" s="34"/>
      <c r="H148" s="34"/>
      <c r="I148" s="34"/>
      <c r="J148" s="39"/>
      <c r="K148" s="34"/>
      <c r="L148" s="34"/>
      <c r="M148" s="34"/>
      <c r="N148" s="34"/>
      <c r="O148" s="34"/>
      <c r="P148" s="39"/>
      <c r="R148" s="40"/>
      <c r="S148" s="40"/>
      <c r="T148" s="40"/>
      <c r="U148" s="40"/>
    </row>
    <row r="149" spans="4:21" s="37" customFormat="1" ht="15.75" customHeight="1" x14ac:dyDescent="0.35">
      <c r="D149" s="40"/>
      <c r="E149" s="34"/>
      <c r="F149" s="34"/>
      <c r="G149" s="34"/>
      <c r="H149" s="34"/>
      <c r="I149" s="34"/>
      <c r="J149" s="39"/>
      <c r="K149" s="34"/>
      <c r="L149" s="34"/>
      <c r="M149" s="34"/>
      <c r="N149" s="34"/>
      <c r="O149" s="34"/>
      <c r="P149" s="39"/>
      <c r="R149" s="40"/>
      <c r="S149" s="40"/>
      <c r="T149" s="40"/>
      <c r="U149" s="40"/>
    </row>
    <row r="150" spans="4:21" s="37" customFormat="1" ht="15.75" customHeight="1" x14ac:dyDescent="0.35">
      <c r="D150" s="40"/>
      <c r="E150" s="34"/>
      <c r="F150" s="34"/>
      <c r="G150" s="34"/>
      <c r="H150" s="34"/>
      <c r="I150" s="34"/>
      <c r="J150" s="39"/>
      <c r="K150" s="34"/>
      <c r="L150" s="34"/>
      <c r="M150" s="34"/>
      <c r="N150" s="34"/>
      <c r="O150" s="34"/>
      <c r="P150" s="39"/>
      <c r="R150" s="40"/>
      <c r="S150" s="40"/>
      <c r="T150" s="40"/>
      <c r="U150" s="40"/>
    </row>
    <row r="151" spans="4:21" s="37" customFormat="1" ht="15.75" customHeight="1" x14ac:dyDescent="0.35">
      <c r="D151" s="40"/>
      <c r="E151" s="34"/>
      <c r="F151" s="34"/>
      <c r="G151" s="34"/>
      <c r="H151" s="34"/>
      <c r="I151" s="34"/>
      <c r="J151" s="39"/>
      <c r="K151" s="34"/>
      <c r="L151" s="34"/>
      <c r="M151" s="34"/>
      <c r="N151" s="34"/>
      <c r="O151" s="34"/>
      <c r="P151" s="39"/>
      <c r="R151" s="40"/>
      <c r="S151" s="40"/>
      <c r="T151" s="40"/>
      <c r="U151" s="40"/>
    </row>
    <row r="152" spans="4:21" s="37" customFormat="1" ht="15.75" customHeight="1" x14ac:dyDescent="0.35">
      <c r="D152" s="40"/>
      <c r="E152" s="34"/>
      <c r="F152" s="34"/>
      <c r="G152" s="34"/>
      <c r="H152" s="34"/>
      <c r="I152" s="34"/>
      <c r="J152" s="39"/>
      <c r="K152" s="34"/>
      <c r="L152" s="34"/>
      <c r="M152" s="34"/>
      <c r="N152" s="34"/>
      <c r="O152" s="34"/>
      <c r="P152" s="39"/>
      <c r="R152" s="40"/>
      <c r="S152" s="40"/>
      <c r="T152" s="40"/>
      <c r="U152" s="40"/>
    </row>
    <row r="153" spans="4:21" s="37" customFormat="1" ht="15.75" customHeight="1" x14ac:dyDescent="0.35">
      <c r="D153" s="40"/>
      <c r="E153" s="34"/>
      <c r="F153" s="34"/>
      <c r="G153" s="34"/>
      <c r="H153" s="34"/>
      <c r="I153" s="34"/>
      <c r="J153" s="39"/>
      <c r="K153" s="34"/>
      <c r="L153" s="34"/>
      <c r="M153" s="34"/>
      <c r="N153" s="34"/>
      <c r="O153" s="34"/>
      <c r="P153" s="39"/>
      <c r="R153" s="40"/>
      <c r="S153" s="40"/>
      <c r="T153" s="40"/>
      <c r="U153" s="40"/>
    </row>
    <row r="154" spans="4:21" s="37" customFormat="1" ht="15.75" customHeight="1" x14ac:dyDescent="0.35">
      <c r="D154" s="40"/>
      <c r="E154" s="34"/>
      <c r="F154" s="34"/>
      <c r="G154" s="34"/>
      <c r="H154" s="34"/>
      <c r="I154" s="34"/>
      <c r="J154" s="39"/>
      <c r="K154" s="34"/>
      <c r="L154" s="34"/>
      <c r="M154" s="34"/>
      <c r="N154" s="34"/>
      <c r="O154" s="34"/>
      <c r="P154" s="39"/>
      <c r="R154" s="40"/>
      <c r="S154" s="40"/>
      <c r="T154" s="40"/>
      <c r="U154" s="40"/>
    </row>
    <row r="155" spans="4:21" s="37" customFormat="1" ht="15.75" customHeight="1" x14ac:dyDescent="0.35">
      <c r="D155" s="40"/>
      <c r="E155" s="34"/>
      <c r="F155" s="34"/>
      <c r="G155" s="34"/>
      <c r="H155" s="34"/>
      <c r="I155" s="34"/>
      <c r="J155" s="39"/>
      <c r="K155" s="34"/>
      <c r="L155" s="34"/>
      <c r="M155" s="34"/>
      <c r="N155" s="34"/>
      <c r="O155" s="34"/>
      <c r="P155" s="39"/>
      <c r="R155" s="40"/>
      <c r="S155" s="40"/>
      <c r="T155" s="40"/>
      <c r="U155" s="40"/>
    </row>
    <row r="156" spans="4:21" s="37" customFormat="1" ht="15.75" customHeight="1" x14ac:dyDescent="0.35">
      <c r="D156" s="40"/>
      <c r="E156" s="34"/>
      <c r="F156" s="34"/>
      <c r="G156" s="34"/>
      <c r="H156" s="34"/>
      <c r="I156" s="34"/>
      <c r="J156" s="39"/>
      <c r="K156" s="34"/>
      <c r="L156" s="34"/>
      <c r="M156" s="34"/>
      <c r="N156" s="34"/>
      <c r="O156" s="34"/>
      <c r="P156" s="39"/>
      <c r="R156" s="40"/>
      <c r="S156" s="40"/>
      <c r="T156" s="40"/>
      <c r="U156" s="40"/>
    </row>
    <row r="157" spans="4:21" s="37" customFormat="1" ht="15.75" customHeight="1" x14ac:dyDescent="0.35">
      <c r="D157" s="40"/>
      <c r="E157" s="34"/>
      <c r="F157" s="34"/>
      <c r="G157" s="34"/>
      <c r="H157" s="34"/>
      <c r="I157" s="34"/>
      <c r="J157" s="39"/>
      <c r="K157" s="34"/>
      <c r="L157" s="34"/>
      <c r="M157" s="34"/>
      <c r="N157" s="34"/>
      <c r="O157" s="34"/>
      <c r="P157" s="39"/>
      <c r="R157" s="40"/>
      <c r="S157" s="40"/>
      <c r="T157" s="40"/>
      <c r="U157" s="40"/>
    </row>
    <row r="158" spans="4:21" s="37" customFormat="1" ht="15.75" customHeight="1" x14ac:dyDescent="0.35">
      <c r="D158" s="40"/>
      <c r="E158" s="34"/>
      <c r="F158" s="34"/>
      <c r="G158" s="34"/>
      <c r="H158" s="34"/>
      <c r="I158" s="34"/>
      <c r="J158" s="39"/>
      <c r="K158" s="34"/>
      <c r="L158" s="34"/>
      <c r="M158" s="34"/>
      <c r="N158" s="34"/>
      <c r="O158" s="34"/>
      <c r="P158" s="39"/>
      <c r="R158" s="40"/>
      <c r="S158" s="40"/>
      <c r="T158" s="40"/>
      <c r="U158" s="40"/>
    </row>
    <row r="159" spans="4:21" s="37" customFormat="1" ht="15.75" customHeight="1" x14ac:dyDescent="0.35">
      <c r="D159" s="40"/>
      <c r="E159" s="34"/>
      <c r="F159" s="34"/>
      <c r="G159" s="34"/>
      <c r="H159" s="34"/>
      <c r="I159" s="34"/>
      <c r="J159" s="39"/>
      <c r="K159" s="34"/>
      <c r="L159" s="34"/>
      <c r="M159" s="34"/>
      <c r="N159" s="34"/>
      <c r="O159" s="34"/>
      <c r="P159" s="39"/>
      <c r="R159" s="40"/>
      <c r="S159" s="40"/>
      <c r="T159" s="40"/>
      <c r="U159" s="40"/>
    </row>
    <row r="160" spans="4:21" s="37" customFormat="1" ht="15.75" customHeight="1" x14ac:dyDescent="0.35">
      <c r="D160" s="40"/>
      <c r="E160" s="34"/>
      <c r="F160" s="34"/>
      <c r="G160" s="34"/>
      <c r="H160" s="34"/>
      <c r="I160" s="34"/>
      <c r="J160" s="39"/>
      <c r="K160" s="34"/>
      <c r="L160" s="34"/>
      <c r="M160" s="34"/>
      <c r="N160" s="34"/>
      <c r="O160" s="34"/>
      <c r="P160" s="39"/>
      <c r="R160" s="40"/>
      <c r="S160" s="40"/>
      <c r="T160" s="40"/>
      <c r="U160" s="40"/>
    </row>
    <row r="161" spans="4:21" s="37" customFormat="1" ht="15.75" customHeight="1" x14ac:dyDescent="0.35">
      <c r="D161" s="40"/>
      <c r="E161" s="34"/>
      <c r="F161" s="34"/>
      <c r="G161" s="34"/>
      <c r="H161" s="34"/>
      <c r="I161" s="34"/>
      <c r="J161" s="39"/>
      <c r="K161" s="34"/>
      <c r="L161" s="34"/>
      <c r="M161" s="34"/>
      <c r="N161" s="34"/>
      <c r="O161" s="34"/>
      <c r="P161" s="39"/>
      <c r="R161" s="40"/>
      <c r="S161" s="40"/>
      <c r="T161" s="40"/>
      <c r="U161" s="40"/>
    </row>
    <row r="162" spans="4:21" s="37" customFormat="1" ht="15.75" customHeight="1" x14ac:dyDescent="0.35">
      <c r="D162" s="40"/>
      <c r="E162" s="34"/>
      <c r="F162" s="34"/>
      <c r="G162" s="34"/>
      <c r="H162" s="34"/>
      <c r="I162" s="34"/>
      <c r="J162" s="39"/>
      <c r="K162" s="34"/>
      <c r="L162" s="34"/>
      <c r="M162" s="34"/>
      <c r="N162" s="34"/>
      <c r="O162" s="34"/>
      <c r="P162" s="39"/>
      <c r="R162" s="40"/>
      <c r="S162" s="40"/>
      <c r="T162" s="40"/>
      <c r="U162" s="40"/>
    </row>
    <row r="163" spans="4:21" s="37" customFormat="1" ht="15.75" customHeight="1" x14ac:dyDescent="0.35">
      <c r="D163" s="40"/>
      <c r="E163" s="34"/>
      <c r="F163" s="34"/>
      <c r="G163" s="34"/>
      <c r="H163" s="34"/>
      <c r="I163" s="34"/>
      <c r="J163" s="39"/>
      <c r="K163" s="34"/>
      <c r="L163" s="34"/>
      <c r="M163" s="34"/>
      <c r="N163" s="34"/>
      <c r="O163" s="34"/>
      <c r="P163" s="39"/>
      <c r="R163" s="40"/>
      <c r="S163" s="40"/>
      <c r="T163" s="40"/>
      <c r="U163" s="40"/>
    </row>
    <row r="164" spans="4:21" s="37" customFormat="1" ht="15.75" customHeight="1" x14ac:dyDescent="0.35">
      <c r="D164" s="40"/>
      <c r="E164" s="34"/>
      <c r="F164" s="34"/>
      <c r="G164" s="34"/>
      <c r="H164" s="34"/>
      <c r="I164" s="34"/>
      <c r="J164" s="39"/>
      <c r="K164" s="34"/>
      <c r="L164" s="34"/>
      <c r="M164" s="34"/>
      <c r="N164" s="34"/>
      <c r="O164" s="34"/>
      <c r="P164" s="39"/>
      <c r="R164" s="40"/>
      <c r="S164" s="40"/>
      <c r="T164" s="40"/>
      <c r="U164" s="40"/>
    </row>
    <row r="165" spans="4:21" s="37" customFormat="1" ht="15.75" customHeight="1" x14ac:dyDescent="0.35">
      <c r="D165" s="40"/>
      <c r="E165" s="34"/>
      <c r="F165" s="34"/>
      <c r="G165" s="34"/>
      <c r="H165" s="34"/>
      <c r="I165" s="34"/>
      <c r="J165" s="39"/>
      <c r="K165" s="34"/>
      <c r="L165" s="34"/>
      <c r="M165" s="34"/>
      <c r="N165" s="34"/>
      <c r="O165" s="34"/>
      <c r="P165" s="39"/>
      <c r="R165" s="40"/>
      <c r="S165" s="40"/>
      <c r="T165" s="40"/>
      <c r="U165" s="40"/>
    </row>
    <row r="166" spans="4:21" s="37" customFormat="1" ht="15.75" customHeight="1" x14ac:dyDescent="0.35">
      <c r="D166" s="40"/>
      <c r="E166" s="34"/>
      <c r="F166" s="34"/>
      <c r="G166" s="34"/>
      <c r="H166" s="34"/>
      <c r="I166" s="34"/>
      <c r="J166" s="39"/>
      <c r="K166" s="34"/>
      <c r="L166" s="34"/>
      <c r="M166" s="34"/>
      <c r="N166" s="34"/>
      <c r="O166" s="34"/>
      <c r="P166" s="39"/>
      <c r="R166" s="40"/>
      <c r="S166" s="40"/>
      <c r="T166" s="40"/>
      <c r="U166" s="40"/>
    </row>
    <row r="167" spans="4:21" s="37" customFormat="1" ht="15.75" customHeight="1" x14ac:dyDescent="0.35">
      <c r="D167" s="40"/>
      <c r="E167" s="34"/>
      <c r="F167" s="34"/>
      <c r="G167" s="34"/>
      <c r="H167" s="34"/>
      <c r="I167" s="34"/>
      <c r="J167" s="39"/>
      <c r="K167" s="34"/>
      <c r="L167" s="34"/>
      <c r="M167" s="34"/>
      <c r="N167" s="34"/>
      <c r="O167" s="34"/>
      <c r="P167" s="39"/>
      <c r="R167" s="40"/>
      <c r="S167" s="40"/>
      <c r="T167" s="40"/>
      <c r="U167" s="40"/>
    </row>
    <row r="168" spans="4:21" s="37" customFormat="1" ht="15.75" customHeight="1" x14ac:dyDescent="0.35">
      <c r="D168" s="40"/>
      <c r="E168" s="34"/>
      <c r="F168" s="34"/>
      <c r="G168" s="34"/>
      <c r="H168" s="34"/>
      <c r="I168" s="34"/>
      <c r="J168" s="39"/>
      <c r="K168" s="34"/>
      <c r="L168" s="34"/>
      <c r="M168" s="34"/>
      <c r="N168" s="34"/>
      <c r="O168" s="34"/>
      <c r="P168" s="39"/>
      <c r="R168" s="40"/>
      <c r="S168" s="40"/>
      <c r="T168" s="40"/>
      <c r="U168" s="40"/>
    </row>
    <row r="169" spans="4:21" s="37" customFormat="1" ht="15.75" customHeight="1" x14ac:dyDescent="0.35">
      <c r="D169" s="40"/>
      <c r="E169" s="34"/>
      <c r="F169" s="34"/>
      <c r="G169" s="34"/>
      <c r="H169" s="34"/>
      <c r="I169" s="34"/>
      <c r="J169" s="39"/>
      <c r="K169" s="34"/>
      <c r="L169" s="34"/>
      <c r="M169" s="34"/>
      <c r="N169" s="34"/>
      <c r="O169" s="34"/>
      <c r="P169" s="39"/>
      <c r="R169" s="40"/>
      <c r="S169" s="40"/>
      <c r="T169" s="40"/>
      <c r="U169" s="40"/>
    </row>
    <row r="170" spans="4:21" s="37" customFormat="1" ht="15.75" customHeight="1" x14ac:dyDescent="0.35">
      <c r="D170" s="40"/>
      <c r="E170" s="34"/>
      <c r="F170" s="34"/>
      <c r="G170" s="34"/>
      <c r="H170" s="34"/>
      <c r="I170" s="34"/>
      <c r="J170" s="39"/>
      <c r="K170" s="34"/>
      <c r="L170" s="34"/>
      <c r="M170" s="34"/>
      <c r="N170" s="34"/>
      <c r="O170" s="34"/>
      <c r="P170" s="39"/>
      <c r="R170" s="40"/>
      <c r="S170" s="40"/>
      <c r="T170" s="40"/>
      <c r="U170" s="40"/>
    </row>
    <row r="171" spans="4:21" s="37" customFormat="1" ht="15.75" customHeight="1" x14ac:dyDescent="0.35">
      <c r="D171" s="40"/>
      <c r="E171" s="34"/>
      <c r="F171" s="34"/>
      <c r="G171" s="34"/>
      <c r="H171" s="34"/>
      <c r="I171" s="34"/>
      <c r="J171" s="39"/>
      <c r="K171" s="34"/>
      <c r="L171" s="34"/>
      <c r="M171" s="34"/>
      <c r="N171" s="34"/>
      <c r="O171" s="34"/>
      <c r="P171" s="39"/>
      <c r="R171" s="40"/>
      <c r="S171" s="40"/>
      <c r="T171" s="40"/>
      <c r="U171" s="40"/>
    </row>
    <row r="172" spans="4:21" s="37" customFormat="1" ht="15.75" customHeight="1" x14ac:dyDescent="0.35">
      <c r="D172" s="40"/>
      <c r="E172" s="34"/>
      <c r="F172" s="34"/>
      <c r="G172" s="34"/>
      <c r="H172" s="34"/>
      <c r="I172" s="34"/>
      <c r="J172" s="39"/>
      <c r="K172" s="34"/>
      <c r="L172" s="34"/>
      <c r="M172" s="34"/>
      <c r="N172" s="34"/>
      <c r="O172" s="34"/>
      <c r="P172" s="39"/>
      <c r="R172" s="40"/>
      <c r="S172" s="40"/>
      <c r="T172" s="40"/>
      <c r="U172" s="40"/>
    </row>
    <row r="173" spans="4:21" s="37" customFormat="1" ht="15.75" customHeight="1" x14ac:dyDescent="0.35">
      <c r="D173" s="40"/>
      <c r="E173" s="34"/>
      <c r="F173" s="34"/>
      <c r="G173" s="34"/>
      <c r="H173" s="34"/>
      <c r="I173" s="34"/>
      <c r="J173" s="39"/>
      <c r="K173" s="34"/>
      <c r="L173" s="34"/>
      <c r="M173" s="34"/>
      <c r="N173" s="34"/>
      <c r="O173" s="34"/>
      <c r="P173" s="39"/>
      <c r="R173" s="40"/>
      <c r="S173" s="40"/>
      <c r="T173" s="40"/>
      <c r="U173" s="40"/>
    </row>
    <row r="174" spans="4:21" s="37" customFormat="1" ht="15.75" customHeight="1" x14ac:dyDescent="0.35">
      <c r="D174" s="40"/>
      <c r="E174" s="34"/>
      <c r="F174" s="34"/>
      <c r="G174" s="34"/>
      <c r="H174" s="34"/>
      <c r="I174" s="34"/>
      <c r="J174" s="39"/>
      <c r="K174" s="34"/>
      <c r="L174" s="34"/>
      <c r="M174" s="34"/>
      <c r="N174" s="34"/>
      <c r="O174" s="34"/>
      <c r="P174" s="39"/>
      <c r="R174" s="40"/>
      <c r="S174" s="40"/>
      <c r="T174" s="40"/>
      <c r="U174" s="40"/>
    </row>
    <row r="175" spans="4:21" s="37" customFormat="1" ht="15.75" customHeight="1" x14ac:dyDescent="0.35">
      <c r="D175" s="40"/>
      <c r="E175" s="34"/>
      <c r="F175" s="34"/>
      <c r="G175" s="34"/>
      <c r="H175" s="34"/>
      <c r="I175" s="34"/>
      <c r="J175" s="39"/>
      <c r="K175" s="34"/>
      <c r="L175" s="34"/>
      <c r="M175" s="34"/>
      <c r="N175" s="34"/>
      <c r="O175" s="34"/>
      <c r="P175" s="39"/>
      <c r="R175" s="40"/>
      <c r="S175" s="40"/>
      <c r="T175" s="40"/>
      <c r="U175" s="40"/>
    </row>
    <row r="176" spans="4:21" s="37" customFormat="1" ht="15.75" customHeight="1" x14ac:dyDescent="0.35">
      <c r="D176" s="40"/>
      <c r="E176" s="34"/>
      <c r="F176" s="34"/>
      <c r="G176" s="34"/>
      <c r="H176" s="34"/>
      <c r="I176" s="34"/>
      <c r="J176" s="39"/>
      <c r="K176" s="34"/>
      <c r="L176" s="34"/>
      <c r="M176" s="34"/>
      <c r="N176" s="34"/>
      <c r="O176" s="34"/>
      <c r="P176" s="39"/>
      <c r="R176" s="40"/>
      <c r="S176" s="40"/>
      <c r="T176" s="40"/>
      <c r="U176" s="40"/>
    </row>
    <row r="177" spans="4:21" s="37" customFormat="1" ht="15.75" customHeight="1" x14ac:dyDescent="0.35">
      <c r="D177" s="40"/>
      <c r="E177" s="34"/>
      <c r="F177" s="34"/>
      <c r="G177" s="34"/>
      <c r="H177" s="34"/>
      <c r="I177" s="34"/>
      <c r="J177" s="39"/>
      <c r="K177" s="34"/>
      <c r="L177" s="34"/>
      <c r="M177" s="34"/>
      <c r="N177" s="34"/>
      <c r="O177" s="34"/>
      <c r="P177" s="39"/>
      <c r="R177" s="40"/>
      <c r="S177" s="40"/>
      <c r="T177" s="40"/>
      <c r="U177" s="40"/>
    </row>
    <row r="178" spans="4:21" s="37" customFormat="1" ht="15.75" customHeight="1" x14ac:dyDescent="0.35">
      <c r="D178" s="40"/>
      <c r="E178" s="34"/>
      <c r="F178" s="34"/>
      <c r="G178" s="34"/>
      <c r="H178" s="34"/>
      <c r="I178" s="34"/>
      <c r="J178" s="39"/>
      <c r="K178" s="34"/>
      <c r="L178" s="34"/>
      <c r="M178" s="34"/>
      <c r="N178" s="34"/>
      <c r="O178" s="34"/>
      <c r="P178" s="39"/>
      <c r="R178" s="40"/>
      <c r="S178" s="40"/>
      <c r="T178" s="40"/>
      <c r="U178" s="40"/>
    </row>
    <row r="179" spans="4:21" s="37" customFormat="1" ht="15.75" customHeight="1" x14ac:dyDescent="0.35">
      <c r="D179" s="40"/>
      <c r="E179" s="34"/>
      <c r="F179" s="34"/>
      <c r="G179" s="34"/>
      <c r="H179" s="34"/>
      <c r="I179" s="34"/>
      <c r="J179" s="39"/>
      <c r="K179" s="34"/>
      <c r="L179" s="34"/>
      <c r="M179" s="34"/>
      <c r="N179" s="34"/>
      <c r="O179" s="34"/>
      <c r="P179" s="39"/>
      <c r="R179" s="40"/>
      <c r="S179" s="40"/>
      <c r="T179" s="40"/>
      <c r="U179" s="40"/>
    </row>
    <row r="180" spans="4:21" s="37" customFormat="1" ht="15.75" customHeight="1" x14ac:dyDescent="0.35">
      <c r="D180" s="40"/>
      <c r="E180" s="34"/>
      <c r="F180" s="34"/>
      <c r="G180" s="34"/>
      <c r="H180" s="34"/>
      <c r="I180" s="34"/>
      <c r="J180" s="39"/>
      <c r="K180" s="34"/>
      <c r="L180" s="34"/>
      <c r="M180" s="34"/>
      <c r="N180" s="34"/>
      <c r="O180" s="34"/>
      <c r="P180" s="39"/>
      <c r="R180" s="40"/>
      <c r="S180" s="40"/>
      <c r="T180" s="40"/>
      <c r="U180" s="40"/>
    </row>
    <row r="181" spans="4:21" s="37" customFormat="1" ht="15.75" customHeight="1" x14ac:dyDescent="0.35">
      <c r="D181" s="40"/>
      <c r="E181" s="34"/>
      <c r="F181" s="34"/>
      <c r="G181" s="34"/>
      <c r="H181" s="34"/>
      <c r="I181" s="34"/>
      <c r="J181" s="39"/>
      <c r="K181" s="34"/>
      <c r="L181" s="34"/>
      <c r="M181" s="34"/>
      <c r="N181" s="34"/>
      <c r="O181" s="34"/>
      <c r="P181" s="39"/>
      <c r="R181" s="40"/>
      <c r="S181" s="40"/>
      <c r="T181" s="40"/>
      <c r="U181" s="40"/>
    </row>
    <row r="182" spans="4:21" s="37" customFormat="1" ht="15.75" customHeight="1" x14ac:dyDescent="0.35">
      <c r="D182" s="40"/>
      <c r="E182" s="34"/>
      <c r="F182" s="34"/>
      <c r="G182" s="34"/>
      <c r="H182" s="34"/>
      <c r="I182" s="34"/>
      <c r="J182" s="39"/>
      <c r="K182" s="34"/>
      <c r="L182" s="34"/>
      <c r="M182" s="34"/>
      <c r="N182" s="34"/>
      <c r="O182" s="34"/>
      <c r="P182" s="39"/>
      <c r="R182" s="40"/>
      <c r="S182" s="40"/>
      <c r="T182" s="40"/>
      <c r="U182" s="40"/>
    </row>
    <row r="183" spans="4:21" s="37" customFormat="1" ht="15.75" customHeight="1" x14ac:dyDescent="0.35">
      <c r="D183" s="40"/>
      <c r="E183" s="34"/>
      <c r="F183" s="34"/>
      <c r="G183" s="34"/>
      <c r="H183" s="34"/>
      <c r="I183" s="34"/>
      <c r="J183" s="39"/>
      <c r="K183" s="34"/>
      <c r="L183" s="34"/>
      <c r="M183" s="34"/>
      <c r="N183" s="34"/>
      <c r="O183" s="34"/>
      <c r="P183" s="39"/>
      <c r="R183" s="40"/>
      <c r="S183" s="40"/>
      <c r="T183" s="40"/>
      <c r="U183" s="40"/>
    </row>
    <row r="184" spans="4:21" s="37" customFormat="1" ht="15.75" customHeight="1" x14ac:dyDescent="0.35">
      <c r="D184" s="40"/>
      <c r="E184" s="34"/>
      <c r="F184" s="34"/>
      <c r="G184" s="34"/>
      <c r="H184" s="34"/>
      <c r="I184" s="34"/>
      <c r="J184" s="39"/>
      <c r="K184" s="34"/>
      <c r="L184" s="34"/>
      <c r="M184" s="34"/>
      <c r="N184" s="34"/>
      <c r="O184" s="34"/>
      <c r="P184" s="39"/>
      <c r="R184" s="40"/>
      <c r="S184" s="40"/>
      <c r="T184" s="40"/>
      <c r="U184" s="40"/>
    </row>
    <row r="185" spans="4:21" s="37" customFormat="1" ht="15.75" customHeight="1" x14ac:dyDescent="0.35">
      <c r="D185" s="40"/>
      <c r="E185" s="34"/>
      <c r="F185" s="34"/>
      <c r="G185" s="34"/>
      <c r="H185" s="34"/>
      <c r="I185" s="34"/>
      <c r="J185" s="39"/>
      <c r="K185" s="34"/>
      <c r="L185" s="34"/>
      <c r="M185" s="34"/>
      <c r="N185" s="34"/>
      <c r="O185" s="34"/>
      <c r="P185" s="39"/>
      <c r="R185" s="40"/>
      <c r="S185" s="40"/>
      <c r="T185" s="40"/>
      <c r="U185" s="40"/>
    </row>
    <row r="186" spans="4:21" s="37" customFormat="1" ht="15.75" customHeight="1" x14ac:dyDescent="0.35">
      <c r="D186" s="40"/>
      <c r="E186" s="34"/>
      <c r="F186" s="34"/>
      <c r="G186" s="34"/>
      <c r="H186" s="34"/>
      <c r="I186" s="34"/>
      <c r="J186" s="39"/>
      <c r="K186" s="34"/>
      <c r="L186" s="34"/>
      <c r="M186" s="34"/>
      <c r="N186" s="34"/>
      <c r="O186" s="34"/>
      <c r="P186" s="39"/>
      <c r="R186" s="40"/>
      <c r="S186" s="40"/>
      <c r="T186" s="40"/>
      <c r="U186" s="40"/>
    </row>
    <row r="187" spans="4:21" s="37" customFormat="1" ht="15.75" customHeight="1" x14ac:dyDescent="0.35">
      <c r="D187" s="40"/>
      <c r="E187" s="34"/>
      <c r="F187" s="34"/>
      <c r="G187" s="34"/>
      <c r="H187" s="34"/>
      <c r="I187" s="34"/>
      <c r="J187" s="39"/>
      <c r="K187" s="34"/>
      <c r="L187" s="34"/>
      <c r="M187" s="34"/>
      <c r="N187" s="34"/>
      <c r="O187" s="34"/>
      <c r="P187" s="39"/>
      <c r="R187" s="40"/>
      <c r="S187" s="40"/>
      <c r="T187" s="40"/>
      <c r="U187" s="40"/>
    </row>
    <row r="188" spans="4:21" s="37" customFormat="1" ht="15.75" customHeight="1" x14ac:dyDescent="0.35">
      <c r="D188" s="40"/>
      <c r="E188" s="34"/>
      <c r="F188" s="34"/>
      <c r="G188" s="34"/>
      <c r="H188" s="34"/>
      <c r="I188" s="34"/>
      <c r="J188" s="39"/>
      <c r="K188" s="34"/>
      <c r="L188" s="34"/>
      <c r="M188" s="34"/>
      <c r="N188" s="34"/>
      <c r="O188" s="34"/>
      <c r="P188" s="39"/>
      <c r="R188" s="40"/>
      <c r="S188" s="40"/>
      <c r="T188" s="40"/>
      <c r="U188" s="40"/>
    </row>
    <row r="189" spans="4:21" s="37" customFormat="1" ht="15.75" customHeight="1" x14ac:dyDescent="0.35">
      <c r="D189" s="40"/>
      <c r="E189" s="34"/>
      <c r="F189" s="34"/>
      <c r="G189" s="34"/>
      <c r="H189" s="34"/>
      <c r="I189" s="34"/>
      <c r="J189" s="39"/>
      <c r="K189" s="34"/>
      <c r="L189" s="34"/>
      <c r="M189" s="34"/>
      <c r="N189" s="34"/>
      <c r="O189" s="34"/>
      <c r="P189" s="39"/>
      <c r="R189" s="40"/>
      <c r="S189" s="40"/>
      <c r="T189" s="40"/>
      <c r="U189" s="40"/>
    </row>
    <row r="190" spans="4:21" s="37" customFormat="1" ht="15.75" customHeight="1" x14ac:dyDescent="0.35">
      <c r="D190" s="40"/>
      <c r="E190" s="34"/>
      <c r="F190" s="34"/>
      <c r="G190" s="34"/>
      <c r="H190" s="34"/>
      <c r="I190" s="34"/>
      <c r="J190" s="39"/>
      <c r="K190" s="34"/>
      <c r="L190" s="34"/>
      <c r="M190" s="34"/>
      <c r="N190" s="34"/>
      <c r="O190" s="34"/>
      <c r="P190" s="39"/>
      <c r="R190" s="40"/>
      <c r="S190" s="40"/>
      <c r="T190" s="40"/>
      <c r="U190" s="40"/>
    </row>
    <row r="191" spans="4:21" s="37" customFormat="1" ht="15.75" customHeight="1" x14ac:dyDescent="0.35">
      <c r="D191" s="40"/>
      <c r="E191" s="34"/>
      <c r="F191" s="34"/>
      <c r="G191" s="34"/>
      <c r="H191" s="34"/>
      <c r="I191" s="34"/>
      <c r="J191" s="39"/>
      <c r="K191" s="34"/>
      <c r="L191" s="34"/>
      <c r="M191" s="34"/>
      <c r="N191" s="34"/>
      <c r="O191" s="34"/>
      <c r="P191" s="39"/>
      <c r="R191" s="40"/>
      <c r="S191" s="40"/>
      <c r="T191" s="40"/>
      <c r="U191" s="40"/>
    </row>
    <row r="192" spans="4:21" s="37" customFormat="1" ht="15.75" customHeight="1" x14ac:dyDescent="0.35">
      <c r="D192" s="40"/>
      <c r="E192" s="34"/>
      <c r="F192" s="34"/>
      <c r="G192" s="34"/>
      <c r="H192" s="34"/>
      <c r="I192" s="34"/>
      <c r="J192" s="39"/>
      <c r="K192" s="34"/>
      <c r="L192" s="34"/>
      <c r="M192" s="34"/>
      <c r="N192" s="34"/>
      <c r="O192" s="34"/>
      <c r="P192" s="39"/>
      <c r="R192" s="40"/>
      <c r="S192" s="40"/>
      <c r="T192" s="40"/>
      <c r="U192" s="40"/>
    </row>
    <row r="193" spans="4:21" s="37" customFormat="1" ht="15.75" customHeight="1" x14ac:dyDescent="0.35">
      <c r="D193" s="40"/>
      <c r="E193" s="34"/>
      <c r="F193" s="34"/>
      <c r="G193" s="34"/>
      <c r="H193" s="34"/>
      <c r="I193" s="34"/>
      <c r="J193" s="39"/>
      <c r="K193" s="34"/>
      <c r="L193" s="34"/>
      <c r="M193" s="34"/>
      <c r="N193" s="34"/>
      <c r="O193" s="34"/>
      <c r="P193" s="39"/>
      <c r="R193" s="40"/>
      <c r="S193" s="40"/>
      <c r="T193" s="40"/>
      <c r="U193" s="40"/>
    </row>
    <row r="194" spans="4:21" s="37" customFormat="1" ht="15.75" customHeight="1" x14ac:dyDescent="0.35">
      <c r="D194" s="40"/>
      <c r="E194" s="34"/>
      <c r="F194" s="34"/>
      <c r="G194" s="34"/>
      <c r="H194" s="34"/>
      <c r="I194" s="34"/>
      <c r="J194" s="39"/>
      <c r="K194" s="34"/>
      <c r="L194" s="34"/>
      <c r="M194" s="34"/>
      <c r="N194" s="34"/>
      <c r="O194" s="34"/>
      <c r="P194" s="39"/>
      <c r="R194" s="40"/>
      <c r="S194" s="40"/>
      <c r="T194" s="40"/>
      <c r="U194" s="40"/>
    </row>
    <row r="195" spans="4:21" s="37" customFormat="1" ht="15.75" customHeight="1" x14ac:dyDescent="0.35">
      <c r="D195" s="40"/>
      <c r="E195" s="34"/>
      <c r="F195" s="34"/>
      <c r="G195" s="34"/>
      <c r="H195" s="34"/>
      <c r="I195" s="34"/>
      <c r="J195" s="39"/>
      <c r="K195" s="34"/>
      <c r="L195" s="34"/>
      <c r="M195" s="34"/>
      <c r="N195" s="34"/>
      <c r="O195" s="34"/>
      <c r="P195" s="39"/>
      <c r="R195" s="40"/>
      <c r="S195" s="40"/>
      <c r="T195" s="40"/>
      <c r="U195" s="40"/>
    </row>
    <row r="196" spans="4:21" s="37" customFormat="1" ht="15.75" customHeight="1" x14ac:dyDescent="0.35">
      <c r="D196" s="40"/>
      <c r="E196" s="34"/>
      <c r="F196" s="34"/>
      <c r="G196" s="34"/>
      <c r="H196" s="34"/>
      <c r="I196" s="34"/>
      <c r="J196" s="39"/>
      <c r="K196" s="34"/>
      <c r="L196" s="34"/>
      <c r="M196" s="34"/>
      <c r="N196" s="34"/>
      <c r="O196" s="34"/>
      <c r="P196" s="39"/>
      <c r="R196" s="40"/>
      <c r="S196" s="40"/>
      <c r="T196" s="40"/>
      <c r="U196" s="40"/>
    </row>
    <row r="197" spans="4:21" s="37" customFormat="1" ht="15.75" customHeight="1" x14ac:dyDescent="0.35">
      <c r="D197" s="40"/>
      <c r="E197" s="34"/>
      <c r="F197" s="34"/>
      <c r="G197" s="34"/>
      <c r="H197" s="34"/>
      <c r="I197" s="34"/>
      <c r="J197" s="39"/>
      <c r="K197" s="34"/>
      <c r="L197" s="34"/>
      <c r="M197" s="34"/>
      <c r="N197" s="34"/>
      <c r="O197" s="34"/>
      <c r="P197" s="39"/>
      <c r="R197" s="40"/>
      <c r="S197" s="40"/>
      <c r="T197" s="40"/>
      <c r="U197" s="40"/>
    </row>
    <row r="198" spans="4:21" s="37" customFormat="1" ht="15.75" customHeight="1" x14ac:dyDescent="0.35">
      <c r="D198" s="40"/>
      <c r="E198" s="34"/>
      <c r="F198" s="34"/>
      <c r="G198" s="34"/>
      <c r="H198" s="34"/>
      <c r="I198" s="34"/>
      <c r="J198" s="39"/>
      <c r="K198" s="34"/>
      <c r="L198" s="34"/>
      <c r="M198" s="34"/>
      <c r="N198" s="34"/>
      <c r="O198" s="34"/>
      <c r="P198" s="39"/>
      <c r="R198" s="40"/>
      <c r="S198" s="40"/>
      <c r="T198" s="40"/>
      <c r="U198" s="40"/>
    </row>
    <row r="199" spans="4:21" s="37" customFormat="1" ht="15.75" customHeight="1" x14ac:dyDescent="0.35">
      <c r="D199" s="40"/>
      <c r="E199" s="34"/>
      <c r="F199" s="34"/>
      <c r="G199" s="34"/>
      <c r="H199" s="34"/>
      <c r="I199" s="34"/>
      <c r="J199" s="39"/>
      <c r="K199" s="34"/>
      <c r="L199" s="34"/>
      <c r="M199" s="34"/>
      <c r="N199" s="34"/>
      <c r="O199" s="34"/>
      <c r="P199" s="39"/>
      <c r="R199" s="40"/>
      <c r="S199" s="40"/>
      <c r="T199" s="40"/>
      <c r="U199" s="40"/>
    </row>
    <row r="200" spans="4:21" s="37" customFormat="1" ht="15.75" customHeight="1" x14ac:dyDescent="0.35">
      <c r="D200" s="40"/>
      <c r="E200" s="34"/>
      <c r="F200" s="34"/>
      <c r="G200" s="34"/>
      <c r="H200" s="34"/>
      <c r="I200" s="34"/>
      <c r="J200" s="39"/>
      <c r="K200" s="34"/>
      <c r="L200" s="34"/>
      <c r="M200" s="34"/>
      <c r="N200" s="34"/>
      <c r="O200" s="34"/>
      <c r="P200" s="39"/>
      <c r="R200" s="40"/>
      <c r="S200" s="40"/>
      <c r="T200" s="40"/>
      <c r="U200" s="40"/>
    </row>
    <row r="201" spans="4:21" s="37" customFormat="1" ht="15.75" customHeight="1" x14ac:dyDescent="0.35">
      <c r="D201" s="40"/>
      <c r="E201" s="34"/>
      <c r="F201" s="34"/>
      <c r="G201" s="34"/>
      <c r="H201" s="34"/>
      <c r="I201" s="34"/>
      <c r="J201" s="39"/>
      <c r="K201" s="34"/>
      <c r="L201" s="34"/>
      <c r="M201" s="34"/>
      <c r="N201" s="34"/>
      <c r="O201" s="34"/>
      <c r="P201" s="39"/>
      <c r="R201" s="40"/>
      <c r="S201" s="40"/>
      <c r="T201" s="40"/>
      <c r="U201" s="40"/>
    </row>
    <row r="202" spans="4:21" s="37" customFormat="1" ht="15.75" customHeight="1" x14ac:dyDescent="0.35">
      <c r="D202" s="40"/>
      <c r="E202" s="34"/>
      <c r="F202" s="34"/>
      <c r="G202" s="34"/>
      <c r="H202" s="34"/>
      <c r="I202" s="34"/>
      <c r="J202" s="39"/>
      <c r="K202" s="34"/>
      <c r="L202" s="34"/>
      <c r="M202" s="34"/>
      <c r="N202" s="34"/>
      <c r="O202" s="34"/>
      <c r="P202" s="39"/>
      <c r="R202" s="40"/>
      <c r="S202" s="40"/>
      <c r="T202" s="40"/>
      <c r="U202" s="40"/>
    </row>
    <row r="203" spans="4:21" s="37" customFormat="1" ht="15.75" customHeight="1" x14ac:dyDescent="0.35">
      <c r="D203" s="40"/>
      <c r="E203" s="34"/>
      <c r="F203" s="34"/>
      <c r="G203" s="34"/>
      <c r="H203" s="34"/>
      <c r="I203" s="34"/>
      <c r="J203" s="39"/>
      <c r="K203" s="34"/>
      <c r="L203" s="34"/>
      <c r="M203" s="34"/>
      <c r="N203" s="34"/>
      <c r="O203" s="34"/>
      <c r="P203" s="39"/>
      <c r="R203" s="40"/>
      <c r="S203" s="40"/>
      <c r="T203" s="40"/>
      <c r="U203" s="40"/>
    </row>
    <row r="204" spans="4:21" s="37" customFormat="1" ht="15.75" customHeight="1" x14ac:dyDescent="0.35">
      <c r="D204" s="40"/>
      <c r="E204" s="34"/>
      <c r="F204" s="34"/>
      <c r="G204" s="34"/>
      <c r="H204" s="34"/>
      <c r="I204" s="34"/>
      <c r="J204" s="39"/>
      <c r="K204" s="34"/>
      <c r="L204" s="34"/>
      <c r="M204" s="34"/>
      <c r="N204" s="34"/>
      <c r="O204" s="34"/>
      <c r="P204" s="39"/>
      <c r="R204" s="40"/>
      <c r="S204" s="40"/>
      <c r="T204" s="40"/>
      <c r="U204" s="40"/>
    </row>
    <row r="205" spans="4:21" s="37" customFormat="1" ht="15.75" customHeight="1" x14ac:dyDescent="0.35">
      <c r="D205" s="40"/>
      <c r="E205" s="34"/>
      <c r="F205" s="34"/>
      <c r="G205" s="34"/>
      <c r="H205" s="34"/>
      <c r="I205" s="34"/>
      <c r="J205" s="39"/>
      <c r="K205" s="34"/>
      <c r="L205" s="34"/>
      <c r="M205" s="34"/>
      <c r="N205" s="34"/>
      <c r="O205" s="34"/>
      <c r="P205" s="39"/>
      <c r="R205" s="40"/>
      <c r="S205" s="40"/>
      <c r="T205" s="40"/>
      <c r="U205" s="40"/>
    </row>
    <row r="206" spans="4:21" s="37" customFormat="1" ht="15.75" customHeight="1" x14ac:dyDescent="0.35">
      <c r="D206" s="40"/>
      <c r="E206" s="34"/>
      <c r="F206" s="34"/>
      <c r="G206" s="34"/>
      <c r="H206" s="34"/>
      <c r="I206" s="34"/>
      <c r="J206" s="39"/>
      <c r="K206" s="34"/>
      <c r="L206" s="34"/>
      <c r="M206" s="34"/>
      <c r="N206" s="34"/>
      <c r="O206" s="34"/>
      <c r="P206" s="39"/>
      <c r="R206" s="40"/>
      <c r="S206" s="40"/>
      <c r="T206" s="40"/>
      <c r="U206" s="40"/>
    </row>
    <row r="207" spans="4:21" s="37" customFormat="1" ht="15.75" customHeight="1" x14ac:dyDescent="0.35">
      <c r="D207" s="40"/>
      <c r="E207" s="34"/>
      <c r="F207" s="34"/>
      <c r="G207" s="34"/>
      <c r="H207" s="34"/>
      <c r="I207" s="34"/>
      <c r="J207" s="39"/>
      <c r="K207" s="34"/>
      <c r="L207" s="34"/>
      <c r="M207" s="34"/>
      <c r="N207" s="34"/>
      <c r="O207" s="34"/>
      <c r="P207" s="39"/>
      <c r="R207" s="40"/>
      <c r="S207" s="40"/>
      <c r="T207" s="40"/>
      <c r="U207" s="40"/>
    </row>
    <row r="208" spans="4:21" s="37" customFormat="1" ht="15.75" customHeight="1" x14ac:dyDescent="0.35">
      <c r="D208" s="40"/>
      <c r="E208" s="34"/>
      <c r="F208" s="34"/>
      <c r="G208" s="34"/>
      <c r="H208" s="34"/>
      <c r="I208" s="34"/>
      <c r="J208" s="39"/>
      <c r="K208" s="34"/>
      <c r="L208" s="34"/>
      <c r="M208" s="34"/>
      <c r="N208" s="34"/>
      <c r="O208" s="34"/>
      <c r="P208" s="39"/>
      <c r="R208" s="40"/>
      <c r="S208" s="40"/>
      <c r="T208" s="40"/>
      <c r="U208" s="40"/>
    </row>
    <row r="209" spans="4:21" s="37" customFormat="1" ht="15.75" customHeight="1" x14ac:dyDescent="0.35">
      <c r="D209" s="40"/>
      <c r="E209" s="34"/>
      <c r="F209" s="34"/>
      <c r="G209" s="34"/>
      <c r="H209" s="34"/>
      <c r="I209" s="34"/>
      <c r="J209" s="39"/>
      <c r="K209" s="34"/>
      <c r="L209" s="34"/>
      <c r="M209" s="34"/>
      <c r="N209" s="34"/>
      <c r="O209" s="34"/>
      <c r="P209" s="39"/>
      <c r="R209" s="40"/>
      <c r="S209" s="40"/>
      <c r="T209" s="40"/>
      <c r="U209" s="40"/>
    </row>
    <row r="210" spans="4:21" s="37" customFormat="1" ht="15.75" customHeight="1" x14ac:dyDescent="0.35">
      <c r="D210" s="40"/>
      <c r="E210" s="34"/>
      <c r="F210" s="34"/>
      <c r="G210" s="34"/>
      <c r="H210" s="34"/>
      <c r="I210" s="34"/>
      <c r="J210" s="39"/>
      <c r="K210" s="34"/>
      <c r="L210" s="34"/>
      <c r="M210" s="34"/>
      <c r="N210" s="34"/>
      <c r="O210" s="34"/>
      <c r="P210" s="39"/>
      <c r="R210" s="40"/>
      <c r="S210" s="40"/>
      <c r="T210" s="40"/>
      <c r="U210" s="40"/>
    </row>
    <row r="211" spans="4:21" s="37" customFormat="1" ht="15.75" customHeight="1" x14ac:dyDescent="0.35">
      <c r="D211" s="40"/>
      <c r="E211" s="34"/>
      <c r="F211" s="34"/>
      <c r="G211" s="34"/>
      <c r="H211" s="34"/>
      <c r="I211" s="34"/>
      <c r="J211" s="39"/>
      <c r="K211" s="34"/>
      <c r="L211" s="34"/>
      <c r="M211" s="34"/>
      <c r="N211" s="34"/>
      <c r="O211" s="34"/>
      <c r="P211" s="39"/>
      <c r="R211" s="40"/>
      <c r="S211" s="40"/>
      <c r="T211" s="40"/>
      <c r="U211" s="40"/>
    </row>
    <row r="212" spans="4:21" s="37" customFormat="1" ht="15.75" customHeight="1" x14ac:dyDescent="0.35">
      <c r="D212" s="40"/>
      <c r="E212" s="34"/>
      <c r="F212" s="34"/>
      <c r="G212" s="34"/>
      <c r="H212" s="34"/>
      <c r="I212" s="34"/>
      <c r="J212" s="39"/>
      <c r="K212" s="34"/>
      <c r="L212" s="34"/>
      <c r="M212" s="34"/>
      <c r="N212" s="34"/>
      <c r="O212" s="34"/>
      <c r="P212" s="39"/>
      <c r="R212" s="40"/>
      <c r="S212" s="40"/>
      <c r="T212" s="40"/>
      <c r="U212" s="40"/>
    </row>
    <row r="213" spans="4:21" s="37" customFormat="1" ht="15.75" customHeight="1" x14ac:dyDescent="0.35">
      <c r="D213" s="40"/>
      <c r="E213" s="34"/>
      <c r="F213" s="34"/>
      <c r="G213" s="34"/>
      <c r="H213" s="34"/>
      <c r="I213" s="34"/>
      <c r="J213" s="39"/>
      <c r="K213" s="34"/>
      <c r="L213" s="34"/>
      <c r="M213" s="34"/>
      <c r="N213" s="34"/>
      <c r="O213" s="34"/>
      <c r="P213" s="39"/>
      <c r="R213" s="40"/>
      <c r="S213" s="40"/>
      <c r="T213" s="40"/>
      <c r="U213" s="40"/>
    </row>
    <row r="214" spans="4:21" s="37" customFormat="1" ht="15.75" customHeight="1" x14ac:dyDescent="0.35">
      <c r="D214" s="40"/>
      <c r="E214" s="34"/>
      <c r="F214" s="34"/>
      <c r="G214" s="34"/>
      <c r="H214" s="34"/>
      <c r="I214" s="34"/>
      <c r="J214" s="39"/>
      <c r="K214" s="34"/>
      <c r="L214" s="34"/>
      <c r="M214" s="34"/>
      <c r="N214" s="34"/>
      <c r="O214" s="34"/>
      <c r="P214" s="39"/>
      <c r="R214" s="40"/>
      <c r="S214" s="40"/>
      <c r="T214" s="40"/>
      <c r="U214" s="40"/>
    </row>
    <row r="215" spans="4:21" s="37" customFormat="1" ht="15.75" customHeight="1" x14ac:dyDescent="0.35">
      <c r="D215" s="40"/>
      <c r="E215" s="34"/>
      <c r="F215" s="34"/>
      <c r="G215" s="34"/>
      <c r="H215" s="34"/>
      <c r="I215" s="34"/>
      <c r="J215" s="39"/>
      <c r="K215" s="34"/>
      <c r="L215" s="34"/>
      <c r="M215" s="34"/>
      <c r="N215" s="34"/>
      <c r="O215" s="34"/>
      <c r="P215" s="39"/>
      <c r="R215" s="40"/>
      <c r="S215" s="40"/>
      <c r="T215" s="40"/>
      <c r="U215" s="40"/>
    </row>
    <row r="216" spans="4:21" s="37" customFormat="1" ht="15.75" customHeight="1" x14ac:dyDescent="0.35">
      <c r="D216" s="40"/>
      <c r="E216" s="34"/>
      <c r="F216" s="34"/>
      <c r="G216" s="34"/>
      <c r="H216" s="34"/>
      <c r="I216" s="34"/>
      <c r="J216" s="39"/>
      <c r="K216" s="34"/>
      <c r="L216" s="34"/>
      <c r="M216" s="34"/>
      <c r="N216" s="34"/>
      <c r="O216" s="34"/>
      <c r="P216" s="39"/>
      <c r="R216" s="40"/>
      <c r="S216" s="40"/>
      <c r="T216" s="40"/>
      <c r="U216" s="40"/>
    </row>
    <row r="217" spans="4:21" s="37" customFormat="1" ht="15.75" customHeight="1" x14ac:dyDescent="0.35">
      <c r="D217" s="40"/>
      <c r="E217" s="34"/>
      <c r="F217" s="34"/>
      <c r="G217" s="34"/>
      <c r="H217" s="34"/>
      <c r="I217" s="34"/>
      <c r="J217" s="39"/>
      <c r="K217" s="34"/>
      <c r="L217" s="34"/>
      <c r="M217" s="34"/>
      <c r="N217" s="34"/>
      <c r="O217" s="34"/>
      <c r="P217" s="39"/>
      <c r="R217" s="40"/>
      <c r="S217" s="40"/>
      <c r="T217" s="40"/>
      <c r="U217" s="40"/>
    </row>
    <row r="218" spans="4:21" s="37" customFormat="1" ht="15.75" customHeight="1" x14ac:dyDescent="0.35">
      <c r="D218" s="40"/>
      <c r="E218" s="34"/>
      <c r="F218" s="34"/>
      <c r="G218" s="34"/>
      <c r="H218" s="34"/>
      <c r="I218" s="34"/>
      <c r="J218" s="39"/>
      <c r="K218" s="34"/>
      <c r="L218" s="34"/>
      <c r="M218" s="34"/>
      <c r="N218" s="34"/>
      <c r="O218" s="34"/>
      <c r="P218" s="39"/>
      <c r="R218" s="40"/>
      <c r="S218" s="40"/>
      <c r="T218" s="40"/>
      <c r="U218" s="40"/>
    </row>
    <row r="219" spans="4:21" s="37" customFormat="1" ht="15.75" customHeight="1" x14ac:dyDescent="0.35">
      <c r="D219" s="40"/>
      <c r="E219" s="34"/>
      <c r="F219" s="34"/>
      <c r="G219" s="34"/>
      <c r="H219" s="34"/>
      <c r="I219" s="34"/>
      <c r="J219" s="39"/>
      <c r="K219" s="34"/>
      <c r="L219" s="34"/>
      <c r="M219" s="34"/>
      <c r="N219" s="34"/>
      <c r="O219" s="34"/>
      <c r="P219" s="39"/>
      <c r="R219" s="40"/>
      <c r="S219" s="40"/>
      <c r="T219" s="40"/>
      <c r="U219" s="40"/>
    </row>
    <row r="220" spans="4:21" s="37" customFormat="1" ht="15.75" customHeight="1" x14ac:dyDescent="0.35">
      <c r="D220" s="40"/>
      <c r="E220" s="34"/>
      <c r="F220" s="34"/>
      <c r="G220" s="34"/>
      <c r="H220" s="34"/>
      <c r="I220" s="34"/>
      <c r="J220" s="39"/>
      <c r="K220" s="34"/>
      <c r="L220" s="34"/>
      <c r="M220" s="34"/>
      <c r="N220" s="34"/>
      <c r="O220" s="34"/>
      <c r="P220" s="39"/>
      <c r="R220" s="40"/>
      <c r="S220" s="40"/>
      <c r="T220" s="40"/>
      <c r="U220" s="40"/>
    </row>
    <row r="221" spans="4:21" s="37" customFormat="1" ht="15.75" customHeight="1" x14ac:dyDescent="0.35">
      <c r="D221" s="40"/>
      <c r="E221" s="34"/>
      <c r="F221" s="34"/>
      <c r="G221" s="34"/>
      <c r="H221" s="34"/>
      <c r="I221" s="34"/>
      <c r="J221" s="39"/>
      <c r="K221" s="34"/>
      <c r="L221" s="34"/>
      <c r="M221" s="34"/>
      <c r="N221" s="34"/>
      <c r="O221" s="34"/>
      <c r="P221" s="39"/>
      <c r="R221" s="40"/>
      <c r="S221" s="40"/>
      <c r="T221" s="40"/>
      <c r="U221" s="40"/>
    </row>
    <row r="222" spans="4:21" s="37" customFormat="1" ht="15.75" customHeight="1" x14ac:dyDescent="0.35">
      <c r="D222" s="40"/>
      <c r="E222" s="34"/>
      <c r="F222" s="34"/>
      <c r="G222" s="34"/>
      <c r="H222" s="34"/>
      <c r="I222" s="34"/>
      <c r="J222" s="39"/>
      <c r="K222" s="34"/>
      <c r="L222" s="34"/>
      <c r="M222" s="34"/>
      <c r="N222" s="34"/>
      <c r="O222" s="34"/>
      <c r="P222" s="39"/>
      <c r="R222" s="40"/>
      <c r="S222" s="40"/>
      <c r="T222" s="40"/>
      <c r="U222" s="40"/>
    </row>
    <row r="223" spans="4:21" s="37" customFormat="1" ht="15.75" customHeight="1" x14ac:dyDescent="0.35">
      <c r="D223" s="40"/>
      <c r="E223" s="34"/>
      <c r="F223" s="34"/>
      <c r="G223" s="34"/>
      <c r="H223" s="34"/>
      <c r="I223" s="34"/>
      <c r="J223" s="39"/>
      <c r="K223" s="34"/>
      <c r="L223" s="34"/>
      <c r="M223" s="34"/>
      <c r="N223" s="34"/>
      <c r="O223" s="34"/>
      <c r="P223" s="39"/>
      <c r="R223" s="40"/>
      <c r="S223" s="40"/>
      <c r="T223" s="40"/>
      <c r="U223" s="40"/>
    </row>
    <row r="224" spans="4:21" s="37" customFormat="1" ht="15.75" customHeight="1" x14ac:dyDescent="0.35">
      <c r="D224" s="40"/>
      <c r="E224" s="34"/>
      <c r="F224" s="34"/>
      <c r="G224" s="34"/>
      <c r="H224" s="34"/>
      <c r="I224" s="34"/>
      <c r="J224" s="39"/>
      <c r="K224" s="34"/>
      <c r="L224" s="34"/>
      <c r="M224" s="34"/>
      <c r="N224" s="34"/>
      <c r="O224" s="34"/>
      <c r="P224" s="39"/>
      <c r="R224" s="40"/>
      <c r="S224" s="40"/>
      <c r="T224" s="40"/>
      <c r="U224" s="40"/>
    </row>
    <row r="225" spans="4:21" s="37" customFormat="1" ht="15.75" customHeight="1" x14ac:dyDescent="0.35">
      <c r="D225" s="40"/>
      <c r="E225" s="34"/>
      <c r="F225" s="34"/>
      <c r="G225" s="34"/>
      <c r="H225" s="34"/>
      <c r="I225" s="34"/>
      <c r="J225" s="39"/>
      <c r="K225" s="34"/>
      <c r="L225" s="34"/>
      <c r="M225" s="34"/>
      <c r="N225" s="34"/>
      <c r="O225" s="34"/>
      <c r="P225" s="39"/>
      <c r="R225" s="40"/>
      <c r="S225" s="40"/>
      <c r="T225" s="40"/>
      <c r="U225" s="40"/>
    </row>
    <row r="226" spans="4:21" s="37" customFormat="1" ht="15.75" customHeight="1" x14ac:dyDescent="0.35">
      <c r="D226" s="40"/>
      <c r="E226" s="34"/>
      <c r="F226" s="34"/>
      <c r="G226" s="34"/>
      <c r="H226" s="34"/>
      <c r="I226" s="34"/>
      <c r="J226" s="39"/>
      <c r="K226" s="34"/>
      <c r="L226" s="34"/>
      <c r="M226" s="34"/>
      <c r="N226" s="34"/>
      <c r="O226" s="34"/>
      <c r="P226" s="39"/>
      <c r="R226" s="40"/>
      <c r="S226" s="40"/>
      <c r="T226" s="40"/>
      <c r="U226" s="40"/>
    </row>
    <row r="227" spans="4:21" s="37" customFormat="1" ht="15.75" customHeight="1" x14ac:dyDescent="0.35">
      <c r="D227" s="40"/>
      <c r="E227" s="34"/>
      <c r="F227" s="34"/>
      <c r="G227" s="34"/>
      <c r="H227" s="34"/>
      <c r="I227" s="34"/>
      <c r="J227" s="39"/>
      <c r="K227" s="34"/>
      <c r="L227" s="34"/>
      <c r="M227" s="34"/>
      <c r="N227" s="34"/>
      <c r="O227" s="34"/>
      <c r="P227" s="39"/>
      <c r="R227" s="40"/>
      <c r="S227" s="40"/>
      <c r="T227" s="40"/>
      <c r="U227" s="40"/>
    </row>
    <row r="228" spans="4:21" s="37" customFormat="1" ht="15.75" customHeight="1" x14ac:dyDescent="0.35">
      <c r="D228" s="40"/>
      <c r="E228" s="34"/>
      <c r="F228" s="34"/>
      <c r="G228" s="34"/>
      <c r="H228" s="34"/>
      <c r="I228" s="34"/>
      <c r="J228" s="39"/>
      <c r="K228" s="34"/>
      <c r="L228" s="34"/>
      <c r="M228" s="34"/>
      <c r="N228" s="34"/>
      <c r="O228" s="34"/>
      <c r="P228" s="39"/>
      <c r="R228" s="40"/>
      <c r="S228" s="40"/>
      <c r="T228" s="40"/>
      <c r="U228" s="40"/>
    </row>
    <row r="229" spans="4:21" s="37" customFormat="1" ht="15.75" customHeight="1" x14ac:dyDescent="0.35">
      <c r="D229" s="40"/>
      <c r="E229" s="34"/>
      <c r="F229" s="34"/>
      <c r="G229" s="34"/>
      <c r="H229" s="34"/>
      <c r="I229" s="34"/>
      <c r="J229" s="39"/>
      <c r="K229" s="34"/>
      <c r="L229" s="34"/>
      <c r="M229" s="34"/>
      <c r="N229" s="34"/>
      <c r="O229" s="34"/>
      <c r="P229" s="39"/>
      <c r="R229" s="40"/>
      <c r="S229" s="40"/>
      <c r="T229" s="40"/>
      <c r="U229" s="40"/>
    </row>
    <row r="230" spans="4:21" s="37" customFormat="1" ht="15.75" customHeight="1" x14ac:dyDescent="0.35">
      <c r="D230" s="40"/>
      <c r="E230" s="34"/>
      <c r="F230" s="34"/>
      <c r="G230" s="34"/>
      <c r="H230" s="34"/>
      <c r="I230" s="34"/>
      <c r="J230" s="39"/>
      <c r="K230" s="34"/>
      <c r="L230" s="34"/>
      <c r="M230" s="34"/>
      <c r="N230" s="34"/>
      <c r="O230" s="34"/>
      <c r="P230" s="39"/>
      <c r="R230" s="40"/>
      <c r="S230" s="40"/>
      <c r="T230" s="40"/>
      <c r="U230" s="40"/>
    </row>
    <row r="231" spans="4:21" s="37" customFormat="1" ht="15.75" customHeight="1" x14ac:dyDescent="0.35">
      <c r="D231" s="40"/>
      <c r="E231" s="34"/>
      <c r="F231" s="34"/>
      <c r="G231" s="34"/>
      <c r="H231" s="34"/>
      <c r="I231" s="34"/>
      <c r="J231" s="39"/>
      <c r="K231" s="34"/>
      <c r="L231" s="34"/>
      <c r="M231" s="34"/>
      <c r="N231" s="34"/>
      <c r="O231" s="34"/>
      <c r="P231" s="39"/>
      <c r="R231" s="40"/>
      <c r="S231" s="40"/>
      <c r="T231" s="40"/>
      <c r="U231" s="40"/>
    </row>
    <row r="232" spans="4:21" s="37" customFormat="1" ht="15.75" customHeight="1" x14ac:dyDescent="0.35">
      <c r="D232" s="40"/>
      <c r="E232" s="34"/>
      <c r="F232" s="34"/>
      <c r="G232" s="34"/>
      <c r="H232" s="34"/>
      <c r="I232" s="34"/>
      <c r="J232" s="39"/>
      <c r="K232" s="34"/>
      <c r="L232" s="34"/>
      <c r="M232" s="34"/>
      <c r="N232" s="34"/>
      <c r="O232" s="34"/>
      <c r="P232" s="39"/>
      <c r="R232" s="40"/>
      <c r="S232" s="40"/>
      <c r="T232" s="40"/>
      <c r="U232" s="40"/>
    </row>
    <row r="233" spans="4:21" s="37" customFormat="1" ht="15.75" customHeight="1" x14ac:dyDescent="0.35">
      <c r="D233" s="40"/>
      <c r="E233" s="34"/>
      <c r="F233" s="34"/>
      <c r="G233" s="34"/>
      <c r="H233" s="34"/>
      <c r="I233" s="34"/>
      <c r="J233" s="39"/>
      <c r="K233" s="34"/>
      <c r="L233" s="34"/>
      <c r="M233" s="34"/>
      <c r="N233" s="34"/>
      <c r="O233" s="34"/>
      <c r="P233" s="39"/>
      <c r="R233" s="40"/>
      <c r="S233" s="40"/>
      <c r="T233" s="40"/>
      <c r="U233" s="40"/>
    </row>
    <row r="234" spans="4:21" s="37" customFormat="1" ht="15.75" customHeight="1" x14ac:dyDescent="0.35">
      <c r="D234" s="40"/>
      <c r="E234" s="34"/>
      <c r="F234" s="34"/>
      <c r="G234" s="34"/>
      <c r="H234" s="34"/>
      <c r="I234" s="34"/>
      <c r="J234" s="39"/>
      <c r="K234" s="34"/>
      <c r="L234" s="34"/>
      <c r="M234" s="34"/>
      <c r="N234" s="34"/>
      <c r="O234" s="34"/>
      <c r="P234" s="39"/>
      <c r="R234" s="40"/>
      <c r="S234" s="40"/>
      <c r="T234" s="40"/>
      <c r="U234" s="40"/>
    </row>
    <row r="235" spans="4:21" s="37" customFormat="1" ht="15.75" customHeight="1" x14ac:dyDescent="0.35">
      <c r="D235" s="40"/>
      <c r="E235" s="34"/>
      <c r="F235" s="34"/>
      <c r="G235" s="34"/>
      <c r="H235" s="34"/>
      <c r="I235" s="34"/>
      <c r="J235" s="39"/>
      <c r="K235" s="34"/>
      <c r="L235" s="34"/>
      <c r="M235" s="34"/>
      <c r="N235" s="34"/>
      <c r="O235" s="34"/>
      <c r="P235" s="39"/>
      <c r="R235" s="40"/>
      <c r="S235" s="40"/>
      <c r="T235" s="40"/>
      <c r="U235" s="40"/>
    </row>
    <row r="236" spans="4:21" s="37" customFormat="1" ht="15.75" customHeight="1" x14ac:dyDescent="0.35">
      <c r="D236" s="40"/>
      <c r="E236" s="34"/>
      <c r="F236" s="34"/>
      <c r="G236" s="34"/>
      <c r="H236" s="34"/>
      <c r="I236" s="34"/>
      <c r="J236" s="39"/>
      <c r="K236" s="34"/>
      <c r="L236" s="34"/>
      <c r="M236" s="34"/>
      <c r="N236" s="34"/>
      <c r="O236" s="34"/>
      <c r="P236" s="39"/>
      <c r="R236" s="40"/>
      <c r="S236" s="40"/>
      <c r="T236" s="40"/>
      <c r="U236" s="40"/>
    </row>
    <row r="237" spans="4:21" s="37" customFormat="1" ht="15.75" customHeight="1" x14ac:dyDescent="0.35">
      <c r="D237" s="40"/>
      <c r="E237" s="34"/>
      <c r="F237" s="34"/>
      <c r="G237" s="34"/>
      <c r="H237" s="34"/>
      <c r="I237" s="34"/>
      <c r="J237" s="39"/>
      <c r="K237" s="34"/>
      <c r="L237" s="34"/>
      <c r="M237" s="34"/>
      <c r="N237" s="34"/>
      <c r="O237" s="34"/>
      <c r="P237" s="39"/>
      <c r="R237" s="40"/>
      <c r="S237" s="40"/>
      <c r="T237" s="40"/>
      <c r="U237" s="40"/>
    </row>
    <row r="238" spans="4:21" s="37" customFormat="1" ht="15.75" customHeight="1" x14ac:dyDescent="0.35">
      <c r="D238" s="40"/>
      <c r="E238" s="34"/>
      <c r="F238" s="34"/>
      <c r="G238" s="34"/>
      <c r="H238" s="34"/>
      <c r="I238" s="34"/>
      <c r="J238" s="39"/>
      <c r="K238" s="34"/>
      <c r="L238" s="34"/>
      <c r="M238" s="34"/>
      <c r="N238" s="34"/>
      <c r="O238" s="34"/>
      <c r="P238" s="39"/>
      <c r="R238" s="40"/>
      <c r="S238" s="40"/>
      <c r="T238" s="40"/>
      <c r="U238" s="40"/>
    </row>
    <row r="239" spans="4:21" s="37" customFormat="1" ht="15.75" customHeight="1" x14ac:dyDescent="0.35">
      <c r="D239" s="40"/>
      <c r="E239" s="34"/>
      <c r="F239" s="34"/>
      <c r="G239" s="34"/>
      <c r="H239" s="34"/>
      <c r="I239" s="34"/>
      <c r="J239" s="39"/>
      <c r="K239" s="34"/>
      <c r="L239" s="34"/>
      <c r="M239" s="34"/>
      <c r="N239" s="34"/>
      <c r="O239" s="34"/>
      <c r="P239" s="39"/>
      <c r="R239" s="40"/>
      <c r="S239" s="40"/>
      <c r="T239" s="40"/>
      <c r="U239" s="40"/>
    </row>
    <row r="240" spans="4:21" s="37" customFormat="1" ht="15.75" customHeight="1" x14ac:dyDescent="0.35">
      <c r="D240" s="40"/>
      <c r="E240" s="34"/>
      <c r="F240" s="34"/>
      <c r="G240" s="34"/>
      <c r="H240" s="34"/>
      <c r="I240" s="34"/>
      <c r="J240" s="39"/>
      <c r="K240" s="34"/>
      <c r="L240" s="34"/>
      <c r="M240" s="34"/>
      <c r="N240" s="34"/>
      <c r="O240" s="34"/>
      <c r="P240" s="39"/>
      <c r="R240" s="40"/>
      <c r="S240" s="40"/>
      <c r="T240" s="40"/>
      <c r="U240" s="40"/>
    </row>
    <row r="241" spans="4:21" s="37" customFormat="1" ht="15.75" customHeight="1" x14ac:dyDescent="0.35">
      <c r="D241" s="40"/>
      <c r="E241" s="34"/>
      <c r="F241" s="34"/>
      <c r="G241" s="34"/>
      <c r="H241" s="34"/>
      <c r="I241" s="34"/>
      <c r="J241" s="39"/>
      <c r="K241" s="34"/>
      <c r="L241" s="34"/>
      <c r="M241" s="34"/>
      <c r="N241" s="34"/>
      <c r="O241" s="34"/>
      <c r="P241" s="39"/>
      <c r="R241" s="40"/>
      <c r="S241" s="40"/>
      <c r="T241" s="40"/>
      <c r="U241" s="40"/>
    </row>
    <row r="242" spans="4:21" s="37" customFormat="1" ht="15.75" customHeight="1" x14ac:dyDescent="0.35">
      <c r="D242" s="40"/>
      <c r="E242" s="34"/>
      <c r="F242" s="34"/>
      <c r="G242" s="34"/>
      <c r="H242" s="34"/>
      <c r="I242" s="34"/>
      <c r="J242" s="39"/>
      <c r="K242" s="34"/>
      <c r="L242" s="34"/>
      <c r="M242" s="34"/>
      <c r="N242" s="34"/>
      <c r="O242" s="34"/>
      <c r="P242" s="39"/>
      <c r="R242" s="40"/>
      <c r="S242" s="40"/>
      <c r="T242" s="40"/>
      <c r="U242" s="40"/>
    </row>
    <row r="243" spans="4:21" s="37" customFormat="1" ht="15.75" customHeight="1" x14ac:dyDescent="0.35">
      <c r="D243" s="40"/>
      <c r="E243" s="34"/>
      <c r="F243" s="34"/>
      <c r="G243" s="34"/>
      <c r="H243" s="34"/>
      <c r="I243" s="34"/>
      <c r="J243" s="39"/>
      <c r="K243" s="34"/>
      <c r="L243" s="34"/>
      <c r="M243" s="34"/>
      <c r="N243" s="34"/>
      <c r="O243" s="34"/>
      <c r="P243" s="39"/>
      <c r="R243" s="40"/>
      <c r="S243" s="40"/>
      <c r="T243" s="40"/>
      <c r="U243" s="40"/>
    </row>
    <row r="244" spans="4:21" s="37" customFormat="1" ht="15.75" customHeight="1" x14ac:dyDescent="0.35">
      <c r="D244" s="40"/>
      <c r="E244" s="34"/>
      <c r="F244" s="34"/>
      <c r="G244" s="34"/>
      <c r="H244" s="34"/>
      <c r="I244" s="34"/>
      <c r="J244" s="39"/>
      <c r="K244" s="34"/>
      <c r="L244" s="34"/>
      <c r="M244" s="34"/>
      <c r="N244" s="34"/>
      <c r="O244" s="34"/>
      <c r="P244" s="39"/>
      <c r="R244" s="40"/>
      <c r="S244" s="40"/>
      <c r="T244" s="40"/>
      <c r="U244" s="40"/>
    </row>
    <row r="245" spans="4:21" s="37" customFormat="1" ht="15.75" customHeight="1" x14ac:dyDescent="0.35">
      <c r="D245" s="40"/>
      <c r="E245" s="34"/>
      <c r="F245" s="34"/>
      <c r="G245" s="34"/>
      <c r="H245" s="34"/>
      <c r="I245" s="34"/>
      <c r="J245" s="39"/>
      <c r="K245" s="34"/>
      <c r="L245" s="34"/>
      <c r="M245" s="34"/>
      <c r="N245" s="34"/>
      <c r="O245" s="34"/>
      <c r="P245" s="39"/>
      <c r="R245" s="40"/>
      <c r="S245" s="40"/>
      <c r="T245" s="40"/>
      <c r="U245" s="40"/>
    </row>
    <row r="246" spans="4:21" s="37" customFormat="1" ht="15.75" customHeight="1" x14ac:dyDescent="0.35">
      <c r="D246" s="40"/>
      <c r="E246" s="34"/>
      <c r="F246" s="34"/>
      <c r="G246" s="34"/>
      <c r="H246" s="34"/>
      <c r="I246" s="34"/>
      <c r="J246" s="39"/>
      <c r="K246" s="34"/>
      <c r="L246" s="34"/>
      <c r="M246" s="34"/>
      <c r="N246" s="34"/>
      <c r="O246" s="34"/>
      <c r="P246" s="39"/>
      <c r="R246" s="40"/>
      <c r="S246" s="40"/>
      <c r="T246" s="40"/>
      <c r="U246" s="40"/>
    </row>
    <row r="247" spans="4:21" s="37" customFormat="1" ht="15.75" customHeight="1" x14ac:dyDescent="0.35">
      <c r="D247" s="40"/>
      <c r="E247" s="34"/>
      <c r="F247" s="34"/>
      <c r="G247" s="34"/>
      <c r="H247" s="34"/>
      <c r="I247" s="34"/>
      <c r="J247" s="39"/>
      <c r="K247" s="34"/>
      <c r="L247" s="34"/>
      <c r="M247" s="34"/>
      <c r="N247" s="34"/>
      <c r="O247" s="34"/>
      <c r="P247" s="39"/>
      <c r="R247" s="40"/>
      <c r="S247" s="40"/>
      <c r="T247" s="40"/>
      <c r="U247" s="40"/>
    </row>
    <row r="248" spans="4:21" s="37" customFormat="1" ht="15.75" customHeight="1" x14ac:dyDescent="0.35">
      <c r="D248" s="40"/>
      <c r="E248" s="34"/>
      <c r="F248" s="34"/>
      <c r="G248" s="34"/>
      <c r="H248" s="34"/>
      <c r="I248" s="34"/>
      <c r="J248" s="39"/>
      <c r="K248" s="34"/>
      <c r="L248" s="34"/>
      <c r="M248" s="34"/>
      <c r="N248" s="34"/>
      <c r="O248" s="34"/>
      <c r="P248" s="39"/>
      <c r="R248" s="40"/>
      <c r="S248" s="40"/>
      <c r="T248" s="40"/>
      <c r="U248" s="40"/>
    </row>
    <row r="249" spans="4:21" s="37" customFormat="1" ht="15.75" customHeight="1" x14ac:dyDescent="0.35">
      <c r="D249" s="40"/>
      <c r="E249" s="34"/>
      <c r="F249" s="34"/>
      <c r="G249" s="34"/>
      <c r="H249" s="34"/>
      <c r="I249" s="34"/>
      <c r="J249" s="39"/>
      <c r="K249" s="34"/>
      <c r="L249" s="34"/>
      <c r="M249" s="34"/>
      <c r="N249" s="34"/>
      <c r="O249" s="34"/>
      <c r="P249" s="39"/>
      <c r="R249" s="40"/>
      <c r="S249" s="40"/>
      <c r="T249" s="40"/>
      <c r="U249" s="40"/>
    </row>
    <row r="250" spans="4:21" s="37" customFormat="1" ht="15.75" customHeight="1" x14ac:dyDescent="0.35">
      <c r="D250" s="40"/>
      <c r="E250" s="34"/>
      <c r="F250" s="34"/>
      <c r="G250" s="34"/>
      <c r="H250" s="34"/>
      <c r="I250" s="34"/>
      <c r="J250" s="39"/>
      <c r="K250" s="34"/>
      <c r="L250" s="34"/>
      <c r="M250" s="34"/>
      <c r="N250" s="34"/>
      <c r="O250" s="34"/>
      <c r="P250" s="39"/>
      <c r="R250" s="40"/>
      <c r="S250" s="40"/>
      <c r="T250" s="40"/>
      <c r="U250" s="40"/>
    </row>
    <row r="251" spans="4:21" s="37" customFormat="1" ht="15.75" customHeight="1" x14ac:dyDescent="0.35">
      <c r="D251" s="40"/>
      <c r="E251" s="34"/>
      <c r="F251" s="34"/>
      <c r="G251" s="34"/>
      <c r="H251" s="34"/>
      <c r="I251" s="34"/>
      <c r="J251" s="39"/>
      <c r="K251" s="34"/>
      <c r="L251" s="34"/>
      <c r="M251" s="34"/>
      <c r="N251" s="34"/>
      <c r="O251" s="34"/>
      <c r="P251" s="39"/>
      <c r="R251" s="40"/>
      <c r="S251" s="40"/>
      <c r="T251" s="40"/>
      <c r="U251" s="40"/>
    </row>
    <row r="252" spans="4:21" s="37" customFormat="1" ht="15.75" customHeight="1" x14ac:dyDescent="0.35">
      <c r="D252" s="40"/>
      <c r="E252" s="34"/>
      <c r="F252" s="34"/>
      <c r="G252" s="34"/>
      <c r="H252" s="34"/>
      <c r="I252" s="34"/>
      <c r="J252" s="39"/>
      <c r="K252" s="34"/>
      <c r="L252" s="34"/>
      <c r="M252" s="34"/>
      <c r="N252" s="34"/>
      <c r="O252" s="34"/>
      <c r="P252" s="39"/>
      <c r="R252" s="40"/>
      <c r="S252" s="40"/>
      <c r="T252" s="40"/>
      <c r="U252" s="40"/>
    </row>
    <row r="253" spans="4:21" s="37" customFormat="1" ht="15.75" customHeight="1" x14ac:dyDescent="0.35">
      <c r="D253" s="40"/>
      <c r="E253" s="34"/>
      <c r="F253" s="34"/>
      <c r="G253" s="34"/>
      <c r="H253" s="34"/>
      <c r="I253" s="34"/>
      <c r="J253" s="39"/>
      <c r="K253" s="34"/>
      <c r="L253" s="34"/>
      <c r="M253" s="34"/>
      <c r="N253" s="34"/>
      <c r="O253" s="34"/>
      <c r="P253" s="39"/>
      <c r="R253" s="40"/>
      <c r="S253" s="40"/>
      <c r="T253" s="40"/>
      <c r="U253" s="40"/>
    </row>
    <row r="254" spans="4:21" s="37" customFormat="1" ht="15.75" customHeight="1" x14ac:dyDescent="0.35">
      <c r="D254" s="40"/>
      <c r="E254" s="34"/>
      <c r="F254" s="34"/>
      <c r="G254" s="34"/>
      <c r="H254" s="34"/>
      <c r="I254" s="34"/>
      <c r="J254" s="39"/>
      <c r="K254" s="34"/>
      <c r="L254" s="34"/>
      <c r="M254" s="34"/>
      <c r="N254" s="34"/>
      <c r="O254" s="34"/>
      <c r="P254" s="39"/>
      <c r="R254" s="40"/>
      <c r="S254" s="40"/>
      <c r="T254" s="40"/>
      <c r="U254" s="40"/>
    </row>
    <row r="255" spans="4:21" s="37" customFormat="1" ht="15.75" customHeight="1" x14ac:dyDescent="0.35">
      <c r="D255" s="40"/>
      <c r="E255" s="34"/>
      <c r="F255" s="34"/>
      <c r="G255" s="34"/>
      <c r="H255" s="34"/>
      <c r="I255" s="34"/>
      <c r="J255" s="39"/>
      <c r="K255" s="34"/>
      <c r="L255" s="34"/>
      <c r="M255" s="34"/>
      <c r="N255" s="34"/>
      <c r="O255" s="34"/>
      <c r="P255" s="39"/>
      <c r="R255" s="40"/>
      <c r="S255" s="40"/>
      <c r="T255" s="40"/>
      <c r="U255" s="40"/>
    </row>
    <row r="256" spans="4:21" s="37" customFormat="1" ht="15.75" customHeight="1" x14ac:dyDescent="0.35">
      <c r="D256" s="40"/>
      <c r="E256" s="34"/>
      <c r="F256" s="34"/>
      <c r="G256" s="34"/>
      <c r="H256" s="34"/>
      <c r="I256" s="34"/>
      <c r="J256" s="39"/>
      <c r="K256" s="34"/>
      <c r="L256" s="34"/>
      <c r="M256" s="34"/>
      <c r="N256" s="34"/>
      <c r="O256" s="34"/>
      <c r="P256" s="39"/>
      <c r="R256" s="40"/>
      <c r="S256" s="40"/>
      <c r="T256" s="40"/>
      <c r="U256" s="40"/>
    </row>
    <row r="257" spans="4:21" s="37" customFormat="1" ht="15.75" customHeight="1" x14ac:dyDescent="0.35">
      <c r="D257" s="40"/>
      <c r="E257" s="34"/>
      <c r="F257" s="34"/>
      <c r="G257" s="34"/>
      <c r="H257" s="34"/>
      <c r="I257" s="34"/>
      <c r="J257" s="39"/>
      <c r="K257" s="34"/>
      <c r="L257" s="34"/>
      <c r="M257" s="34"/>
      <c r="N257" s="34"/>
      <c r="O257" s="34"/>
      <c r="P257" s="39"/>
      <c r="R257" s="40"/>
      <c r="S257" s="40"/>
      <c r="T257" s="40"/>
      <c r="U257" s="40"/>
    </row>
    <row r="258" spans="4:21" s="37" customFormat="1" ht="15.75" customHeight="1" x14ac:dyDescent="0.35">
      <c r="D258" s="40"/>
      <c r="E258" s="34"/>
      <c r="F258" s="34"/>
      <c r="G258" s="34"/>
      <c r="H258" s="34"/>
      <c r="I258" s="34"/>
      <c r="J258" s="39"/>
      <c r="K258" s="34"/>
      <c r="L258" s="34"/>
      <c r="M258" s="34"/>
      <c r="N258" s="34"/>
      <c r="O258" s="34"/>
      <c r="P258" s="39"/>
      <c r="R258" s="40"/>
      <c r="S258" s="40"/>
      <c r="T258" s="40"/>
      <c r="U258" s="40"/>
    </row>
    <row r="259" spans="4:21" s="37" customFormat="1" ht="15.75" customHeight="1" x14ac:dyDescent="0.35">
      <c r="D259" s="40"/>
      <c r="E259" s="34"/>
      <c r="F259" s="34"/>
      <c r="G259" s="34"/>
      <c r="H259" s="34"/>
      <c r="I259" s="34"/>
      <c r="J259" s="39"/>
      <c r="K259" s="34"/>
      <c r="L259" s="34"/>
      <c r="M259" s="34"/>
      <c r="N259" s="34"/>
      <c r="O259" s="34"/>
      <c r="P259" s="39"/>
      <c r="R259" s="40"/>
      <c r="S259" s="40"/>
      <c r="T259" s="40"/>
      <c r="U259" s="40"/>
    </row>
    <row r="260" spans="4:21" s="37" customFormat="1" ht="15.75" customHeight="1" x14ac:dyDescent="0.35">
      <c r="D260" s="40"/>
      <c r="E260" s="34"/>
      <c r="F260" s="34"/>
      <c r="G260" s="34"/>
      <c r="H260" s="34"/>
      <c r="I260" s="34"/>
      <c r="J260" s="39"/>
      <c r="K260" s="34"/>
      <c r="L260" s="34"/>
      <c r="M260" s="34"/>
      <c r="N260" s="34"/>
      <c r="O260" s="34"/>
      <c r="P260" s="39"/>
      <c r="R260" s="40"/>
      <c r="S260" s="40"/>
      <c r="T260" s="40"/>
      <c r="U260" s="40"/>
    </row>
    <row r="261" spans="4:21" s="37" customFormat="1" ht="15.75" customHeight="1" x14ac:dyDescent="0.35">
      <c r="D261" s="40"/>
      <c r="E261" s="34"/>
      <c r="F261" s="34"/>
      <c r="G261" s="34"/>
      <c r="H261" s="34"/>
      <c r="I261" s="34"/>
      <c r="J261" s="39"/>
      <c r="K261" s="34"/>
      <c r="L261" s="34"/>
      <c r="M261" s="34"/>
      <c r="N261" s="34"/>
      <c r="O261" s="34"/>
      <c r="P261" s="39"/>
      <c r="R261" s="40"/>
      <c r="S261" s="40"/>
      <c r="T261" s="40"/>
      <c r="U261" s="40"/>
    </row>
    <row r="262" spans="4:21" s="37" customFormat="1" ht="15.75" customHeight="1" x14ac:dyDescent="0.35">
      <c r="D262" s="40"/>
      <c r="E262" s="34"/>
      <c r="F262" s="34"/>
      <c r="G262" s="34"/>
      <c r="H262" s="34"/>
      <c r="I262" s="34"/>
      <c r="J262" s="39"/>
      <c r="K262" s="34"/>
      <c r="L262" s="34"/>
      <c r="M262" s="34"/>
      <c r="N262" s="34"/>
      <c r="O262" s="34"/>
      <c r="P262" s="39"/>
      <c r="R262" s="40"/>
      <c r="S262" s="40"/>
      <c r="T262" s="40"/>
      <c r="U262" s="40"/>
    </row>
    <row r="263" spans="4:21" s="37" customFormat="1" ht="15.75" customHeight="1" x14ac:dyDescent="0.35">
      <c r="D263" s="40"/>
      <c r="E263" s="34"/>
      <c r="F263" s="34"/>
      <c r="G263" s="34"/>
      <c r="H263" s="34"/>
      <c r="I263" s="34"/>
      <c r="J263" s="39"/>
      <c r="K263" s="34"/>
      <c r="L263" s="34"/>
      <c r="M263" s="34"/>
      <c r="N263" s="34"/>
      <c r="O263" s="34"/>
      <c r="P263" s="39"/>
      <c r="R263" s="40"/>
      <c r="S263" s="40"/>
      <c r="T263" s="40"/>
      <c r="U263" s="40"/>
    </row>
    <row r="264" spans="4:21" s="37" customFormat="1" ht="15.75" customHeight="1" x14ac:dyDescent="0.35">
      <c r="D264" s="40"/>
      <c r="E264" s="34"/>
      <c r="F264" s="34"/>
      <c r="G264" s="34"/>
      <c r="H264" s="34"/>
      <c r="I264" s="34"/>
      <c r="J264" s="39"/>
      <c r="K264" s="34"/>
      <c r="L264" s="34"/>
      <c r="M264" s="34"/>
      <c r="N264" s="34"/>
      <c r="O264" s="34"/>
      <c r="P264" s="39"/>
      <c r="R264" s="40"/>
      <c r="S264" s="40"/>
      <c r="T264" s="40"/>
      <c r="U264" s="40"/>
    </row>
    <row r="265" spans="4:21" s="37" customFormat="1" ht="15.75" customHeight="1" x14ac:dyDescent="0.35">
      <c r="D265" s="40"/>
      <c r="E265" s="34"/>
      <c r="F265" s="34"/>
      <c r="G265" s="34"/>
      <c r="H265" s="34"/>
      <c r="I265" s="34"/>
      <c r="J265" s="39"/>
      <c r="K265" s="34"/>
      <c r="L265" s="34"/>
      <c r="M265" s="34"/>
      <c r="N265" s="34"/>
      <c r="O265" s="34"/>
      <c r="P265" s="39"/>
      <c r="R265" s="40"/>
      <c r="S265" s="40"/>
      <c r="T265" s="40"/>
      <c r="U265" s="40"/>
    </row>
    <row r="266" spans="4:21" s="37" customFormat="1" ht="15.75" customHeight="1" x14ac:dyDescent="0.35">
      <c r="D266" s="40"/>
      <c r="E266" s="34"/>
      <c r="F266" s="34"/>
      <c r="G266" s="34"/>
      <c r="H266" s="34"/>
      <c r="I266" s="34"/>
      <c r="J266" s="39"/>
      <c r="K266" s="34"/>
      <c r="L266" s="34"/>
      <c r="M266" s="34"/>
      <c r="N266" s="34"/>
      <c r="O266" s="34"/>
      <c r="P266" s="39"/>
      <c r="R266" s="40"/>
      <c r="S266" s="40"/>
      <c r="T266" s="40"/>
      <c r="U266" s="40"/>
    </row>
    <row r="267" spans="4:21" s="37" customFormat="1" ht="15.75" customHeight="1" x14ac:dyDescent="0.35">
      <c r="D267" s="40"/>
      <c r="E267" s="34"/>
      <c r="F267" s="34"/>
      <c r="G267" s="34"/>
      <c r="H267" s="34"/>
      <c r="I267" s="34"/>
      <c r="J267" s="39"/>
      <c r="K267" s="34"/>
      <c r="L267" s="34"/>
      <c r="M267" s="34"/>
      <c r="N267" s="34"/>
      <c r="O267" s="34"/>
      <c r="P267" s="39"/>
      <c r="R267" s="40"/>
      <c r="S267" s="40"/>
      <c r="T267" s="40"/>
      <c r="U267" s="40"/>
    </row>
    <row r="268" spans="4:21" s="37" customFormat="1" ht="15.75" customHeight="1" x14ac:dyDescent="0.35">
      <c r="D268" s="40"/>
      <c r="E268" s="34"/>
      <c r="F268" s="34"/>
      <c r="G268" s="34"/>
      <c r="H268" s="34"/>
      <c r="I268" s="34"/>
      <c r="J268" s="39"/>
      <c r="K268" s="34"/>
      <c r="L268" s="34"/>
      <c r="M268" s="34"/>
      <c r="N268" s="34"/>
      <c r="O268" s="34"/>
      <c r="P268" s="39"/>
      <c r="R268" s="40"/>
      <c r="S268" s="40"/>
      <c r="T268" s="40"/>
      <c r="U268" s="40"/>
    </row>
    <row r="269" spans="4:21" s="37" customFormat="1" ht="15.75" customHeight="1" x14ac:dyDescent="0.35">
      <c r="D269" s="40"/>
      <c r="E269" s="34"/>
      <c r="F269" s="34"/>
      <c r="G269" s="34"/>
      <c r="H269" s="34"/>
      <c r="I269" s="34"/>
      <c r="J269" s="39"/>
      <c r="K269" s="34"/>
      <c r="L269" s="34"/>
      <c r="M269" s="34"/>
      <c r="N269" s="34"/>
      <c r="O269" s="34"/>
      <c r="P269" s="39"/>
      <c r="R269" s="40"/>
      <c r="S269" s="40"/>
      <c r="T269" s="40"/>
      <c r="U269" s="40"/>
    </row>
    <row r="270" spans="4:21" s="37" customFormat="1" ht="15.75" customHeight="1" x14ac:dyDescent="0.35">
      <c r="D270" s="40"/>
      <c r="E270" s="34"/>
      <c r="F270" s="34"/>
      <c r="G270" s="34"/>
      <c r="H270" s="34"/>
      <c r="I270" s="34"/>
      <c r="J270" s="39"/>
      <c r="K270" s="34"/>
      <c r="L270" s="34"/>
      <c r="M270" s="34"/>
      <c r="N270" s="34"/>
      <c r="O270" s="34"/>
      <c r="P270" s="39"/>
      <c r="R270" s="40"/>
      <c r="S270" s="40"/>
      <c r="T270" s="40"/>
      <c r="U270" s="40"/>
    </row>
    <row r="271" spans="4:21" s="37" customFormat="1" ht="15.75" customHeight="1" x14ac:dyDescent="0.35">
      <c r="D271" s="40"/>
      <c r="E271" s="34"/>
      <c r="F271" s="34"/>
      <c r="G271" s="34"/>
      <c r="H271" s="34"/>
      <c r="I271" s="34"/>
      <c r="J271" s="39"/>
      <c r="K271" s="34"/>
      <c r="L271" s="34"/>
      <c r="M271" s="34"/>
      <c r="N271" s="34"/>
      <c r="O271" s="34"/>
      <c r="P271" s="39"/>
      <c r="R271" s="40"/>
      <c r="S271" s="40"/>
      <c r="T271" s="40"/>
      <c r="U271" s="40"/>
    </row>
    <row r="272" spans="4:21" s="37" customFormat="1" ht="15.75" customHeight="1" x14ac:dyDescent="0.35">
      <c r="D272" s="40"/>
      <c r="E272" s="34"/>
      <c r="F272" s="34"/>
      <c r="G272" s="34"/>
      <c r="H272" s="34"/>
      <c r="I272" s="34"/>
      <c r="J272" s="39"/>
      <c r="K272" s="34"/>
      <c r="L272" s="34"/>
      <c r="M272" s="34"/>
      <c r="N272" s="34"/>
      <c r="O272" s="34"/>
      <c r="P272" s="39"/>
      <c r="R272" s="40"/>
      <c r="S272" s="40"/>
      <c r="T272" s="40"/>
      <c r="U272" s="40"/>
    </row>
    <row r="273" spans="4:21" s="37" customFormat="1" ht="15.75" customHeight="1" x14ac:dyDescent="0.35">
      <c r="D273" s="40"/>
      <c r="E273" s="34"/>
      <c r="F273" s="34"/>
      <c r="G273" s="34"/>
      <c r="H273" s="34"/>
      <c r="I273" s="34"/>
      <c r="J273" s="39"/>
      <c r="K273" s="34"/>
      <c r="L273" s="34"/>
      <c r="M273" s="34"/>
      <c r="N273" s="34"/>
      <c r="O273" s="34"/>
      <c r="P273" s="39"/>
      <c r="R273" s="40"/>
      <c r="S273" s="40"/>
      <c r="T273" s="40"/>
      <c r="U273" s="40"/>
    </row>
    <row r="274" spans="4:21" s="37" customFormat="1" ht="15.75" customHeight="1" x14ac:dyDescent="0.35">
      <c r="D274" s="40"/>
      <c r="E274" s="34"/>
      <c r="F274" s="34"/>
      <c r="G274" s="34"/>
      <c r="H274" s="34"/>
      <c r="I274" s="34"/>
      <c r="J274" s="39"/>
      <c r="K274" s="34"/>
      <c r="L274" s="34"/>
      <c r="M274" s="34"/>
      <c r="N274" s="34"/>
      <c r="O274" s="34"/>
      <c r="P274" s="39"/>
      <c r="R274" s="40"/>
      <c r="S274" s="40"/>
      <c r="T274" s="40"/>
      <c r="U274" s="40"/>
    </row>
    <row r="275" spans="4:21" s="37" customFormat="1" ht="15.75" customHeight="1" x14ac:dyDescent="0.35">
      <c r="D275" s="40"/>
      <c r="E275" s="34"/>
      <c r="F275" s="34"/>
      <c r="G275" s="34"/>
      <c r="H275" s="34"/>
      <c r="I275" s="34"/>
      <c r="J275" s="39"/>
      <c r="K275" s="34"/>
      <c r="L275" s="34"/>
      <c r="M275" s="34"/>
      <c r="N275" s="34"/>
      <c r="O275" s="34"/>
      <c r="P275" s="39"/>
      <c r="R275" s="40"/>
      <c r="S275" s="40"/>
      <c r="T275" s="40"/>
      <c r="U275" s="40"/>
    </row>
    <row r="276" spans="4:21" s="37" customFormat="1" ht="15.75" customHeight="1" x14ac:dyDescent="0.35">
      <c r="D276" s="40"/>
      <c r="E276" s="34"/>
      <c r="F276" s="34"/>
      <c r="G276" s="34"/>
      <c r="H276" s="34"/>
      <c r="I276" s="34"/>
      <c r="J276" s="39"/>
      <c r="K276" s="34"/>
      <c r="L276" s="34"/>
      <c r="M276" s="34"/>
      <c r="N276" s="34"/>
      <c r="O276" s="34"/>
      <c r="P276" s="39"/>
      <c r="R276" s="40"/>
      <c r="S276" s="40"/>
      <c r="T276" s="40"/>
      <c r="U276" s="40"/>
    </row>
    <row r="277" spans="4:21" s="37" customFormat="1" ht="15.75" customHeight="1" x14ac:dyDescent="0.35">
      <c r="D277" s="40"/>
      <c r="E277" s="34"/>
      <c r="F277" s="34"/>
      <c r="G277" s="34"/>
      <c r="H277" s="34"/>
      <c r="I277" s="34"/>
      <c r="J277" s="39"/>
      <c r="K277" s="34"/>
      <c r="L277" s="34"/>
      <c r="M277" s="34"/>
      <c r="N277" s="34"/>
      <c r="O277" s="34"/>
      <c r="P277" s="39"/>
      <c r="R277" s="40"/>
      <c r="S277" s="40"/>
      <c r="T277" s="40"/>
      <c r="U277" s="40"/>
    </row>
    <row r="278" spans="4:21" s="37" customFormat="1" ht="15.75" customHeight="1" x14ac:dyDescent="0.35">
      <c r="D278" s="40"/>
      <c r="E278" s="34"/>
      <c r="F278" s="34"/>
      <c r="G278" s="34"/>
      <c r="H278" s="34"/>
      <c r="I278" s="34"/>
      <c r="J278" s="39"/>
      <c r="K278" s="34"/>
      <c r="L278" s="34"/>
      <c r="M278" s="34"/>
      <c r="N278" s="34"/>
      <c r="O278" s="34"/>
      <c r="P278" s="39"/>
      <c r="R278" s="40"/>
      <c r="S278" s="40"/>
      <c r="T278" s="40"/>
      <c r="U278" s="40"/>
    </row>
    <row r="279" spans="4:21" s="37" customFormat="1" ht="15.75" customHeight="1" x14ac:dyDescent="0.35">
      <c r="D279" s="40"/>
      <c r="E279" s="34"/>
      <c r="F279" s="34"/>
      <c r="G279" s="34"/>
      <c r="H279" s="34"/>
      <c r="I279" s="34"/>
      <c r="J279" s="39"/>
      <c r="K279" s="34"/>
      <c r="L279" s="34"/>
      <c r="M279" s="34"/>
      <c r="N279" s="34"/>
      <c r="O279" s="34"/>
      <c r="P279" s="39"/>
      <c r="R279" s="40"/>
      <c r="S279" s="40"/>
      <c r="T279" s="40"/>
      <c r="U279" s="40"/>
    </row>
    <row r="280" spans="4:21" s="37" customFormat="1" ht="15.75" customHeight="1" x14ac:dyDescent="0.35">
      <c r="D280" s="40"/>
      <c r="E280" s="34"/>
      <c r="F280" s="34"/>
      <c r="G280" s="34"/>
      <c r="H280" s="34"/>
      <c r="I280" s="34"/>
      <c r="J280" s="39"/>
      <c r="K280" s="34"/>
      <c r="L280" s="34"/>
      <c r="M280" s="34"/>
      <c r="N280" s="34"/>
      <c r="O280" s="34"/>
      <c r="P280" s="39"/>
      <c r="R280" s="40"/>
      <c r="S280" s="40"/>
      <c r="T280" s="40"/>
      <c r="U280" s="40"/>
    </row>
    <row r="281" spans="4:21" s="37" customFormat="1" ht="15.75" customHeight="1" x14ac:dyDescent="0.35">
      <c r="D281" s="40"/>
      <c r="E281" s="34"/>
      <c r="F281" s="34"/>
      <c r="G281" s="34"/>
      <c r="H281" s="34"/>
      <c r="I281" s="34"/>
      <c r="J281" s="39"/>
      <c r="K281" s="34"/>
      <c r="L281" s="34"/>
      <c r="M281" s="34"/>
      <c r="N281" s="34"/>
      <c r="O281" s="34"/>
      <c r="P281" s="39"/>
      <c r="R281" s="40"/>
      <c r="S281" s="40"/>
      <c r="T281" s="40"/>
      <c r="U281" s="40"/>
    </row>
    <row r="282" spans="4:21" s="37" customFormat="1" ht="15.75" customHeight="1" x14ac:dyDescent="0.35">
      <c r="D282" s="40"/>
      <c r="E282" s="34"/>
      <c r="F282" s="34"/>
      <c r="G282" s="34"/>
      <c r="H282" s="34"/>
      <c r="I282" s="34"/>
      <c r="J282" s="39"/>
      <c r="K282" s="34"/>
      <c r="L282" s="34"/>
      <c r="M282" s="34"/>
      <c r="N282" s="34"/>
      <c r="O282" s="34"/>
      <c r="P282" s="39"/>
      <c r="R282" s="40"/>
      <c r="S282" s="40"/>
      <c r="T282" s="40"/>
      <c r="U282" s="40"/>
    </row>
    <row r="283" spans="4:21" s="37" customFormat="1" ht="15.75" customHeight="1" x14ac:dyDescent="0.35">
      <c r="D283" s="40"/>
      <c r="E283" s="34"/>
      <c r="F283" s="34"/>
      <c r="G283" s="34"/>
      <c r="H283" s="34"/>
      <c r="I283" s="34"/>
      <c r="J283" s="39"/>
      <c r="K283" s="34"/>
      <c r="L283" s="34"/>
      <c r="M283" s="34"/>
      <c r="N283" s="34"/>
      <c r="O283" s="34"/>
      <c r="P283" s="39"/>
      <c r="R283" s="40"/>
      <c r="S283" s="40"/>
      <c r="T283" s="40"/>
      <c r="U283" s="40"/>
    </row>
    <row r="284" spans="4:21" s="37" customFormat="1" ht="15.75" customHeight="1" x14ac:dyDescent="0.35">
      <c r="D284" s="40"/>
      <c r="E284" s="34"/>
      <c r="F284" s="34"/>
      <c r="G284" s="34"/>
      <c r="H284" s="34"/>
      <c r="I284" s="34"/>
      <c r="J284" s="39"/>
      <c r="K284" s="34"/>
      <c r="L284" s="34"/>
      <c r="M284" s="34"/>
      <c r="N284" s="34"/>
      <c r="O284" s="34"/>
      <c r="P284" s="39"/>
      <c r="R284" s="40"/>
      <c r="S284" s="40"/>
      <c r="T284" s="40"/>
      <c r="U284" s="40"/>
    </row>
    <row r="285" spans="4:21" s="37" customFormat="1" ht="15.75" customHeight="1" x14ac:dyDescent="0.35">
      <c r="D285" s="40"/>
      <c r="E285" s="34"/>
      <c r="F285" s="34"/>
      <c r="G285" s="34"/>
      <c r="H285" s="34"/>
      <c r="I285" s="34"/>
      <c r="J285" s="39"/>
      <c r="K285" s="34"/>
      <c r="L285" s="34"/>
      <c r="M285" s="34"/>
      <c r="N285" s="34"/>
      <c r="O285" s="34"/>
      <c r="P285" s="39"/>
      <c r="R285" s="40"/>
      <c r="S285" s="40"/>
      <c r="T285" s="40"/>
      <c r="U285" s="40"/>
    </row>
    <row r="286" spans="4:21" s="37" customFormat="1" ht="15.75" customHeight="1" x14ac:dyDescent="0.35">
      <c r="D286" s="40"/>
      <c r="E286" s="34"/>
      <c r="F286" s="34"/>
      <c r="G286" s="34"/>
      <c r="H286" s="34"/>
      <c r="I286" s="34"/>
      <c r="J286" s="39"/>
      <c r="K286" s="34"/>
      <c r="L286" s="34"/>
      <c r="M286" s="34"/>
      <c r="N286" s="34"/>
      <c r="O286" s="34"/>
      <c r="P286" s="39"/>
      <c r="R286" s="40"/>
      <c r="S286" s="40"/>
      <c r="T286" s="40"/>
      <c r="U286" s="40"/>
    </row>
    <row r="287" spans="4:21" s="37" customFormat="1" ht="15.75" customHeight="1" x14ac:dyDescent="0.35">
      <c r="D287" s="40"/>
      <c r="E287" s="34"/>
      <c r="F287" s="34"/>
      <c r="G287" s="34"/>
      <c r="H287" s="34"/>
      <c r="I287" s="34"/>
      <c r="J287" s="39"/>
      <c r="K287" s="34"/>
      <c r="L287" s="34"/>
      <c r="M287" s="34"/>
      <c r="N287" s="34"/>
      <c r="O287" s="34"/>
      <c r="P287" s="39"/>
      <c r="R287" s="40"/>
      <c r="S287" s="40"/>
      <c r="T287" s="40"/>
      <c r="U287" s="40"/>
    </row>
    <row r="288" spans="4:21" s="37" customFormat="1" ht="15.75" customHeight="1" x14ac:dyDescent="0.35">
      <c r="D288" s="40"/>
      <c r="E288" s="34"/>
      <c r="F288" s="34"/>
      <c r="G288" s="34"/>
      <c r="H288" s="34"/>
      <c r="I288" s="34"/>
      <c r="J288" s="39"/>
      <c r="K288" s="34"/>
      <c r="L288" s="34"/>
      <c r="M288" s="34"/>
      <c r="N288" s="34"/>
      <c r="O288" s="34"/>
      <c r="P288" s="39"/>
      <c r="R288" s="40"/>
      <c r="S288" s="40"/>
      <c r="T288" s="40"/>
      <c r="U288" s="40"/>
    </row>
    <row r="289" spans="4:21" s="37" customFormat="1" ht="15.75" customHeight="1" x14ac:dyDescent="0.35">
      <c r="D289" s="40"/>
      <c r="E289" s="34"/>
      <c r="F289" s="34"/>
      <c r="G289" s="34"/>
      <c r="H289" s="34"/>
      <c r="I289" s="34"/>
      <c r="J289" s="39"/>
      <c r="K289" s="34"/>
      <c r="L289" s="34"/>
      <c r="M289" s="34"/>
      <c r="N289" s="34"/>
      <c r="O289" s="34"/>
      <c r="P289" s="39"/>
      <c r="R289" s="40"/>
      <c r="S289" s="40"/>
      <c r="T289" s="40"/>
      <c r="U289" s="40"/>
    </row>
    <row r="290" spans="4:21" s="37" customFormat="1" ht="15.75" customHeight="1" x14ac:dyDescent="0.35">
      <c r="D290" s="40"/>
      <c r="E290" s="34"/>
      <c r="F290" s="34"/>
      <c r="G290" s="34"/>
      <c r="H290" s="34"/>
      <c r="I290" s="34"/>
      <c r="J290" s="39"/>
      <c r="K290" s="34"/>
      <c r="L290" s="34"/>
      <c r="M290" s="34"/>
      <c r="N290" s="34"/>
      <c r="O290" s="34"/>
      <c r="P290" s="39"/>
      <c r="R290" s="40"/>
      <c r="S290" s="40"/>
      <c r="T290" s="40"/>
      <c r="U290" s="40"/>
    </row>
    <row r="291" spans="4:21" s="37" customFormat="1" ht="15.75" customHeight="1" x14ac:dyDescent="0.35">
      <c r="D291" s="40"/>
      <c r="E291" s="34"/>
      <c r="F291" s="34"/>
      <c r="G291" s="34"/>
      <c r="H291" s="34"/>
      <c r="I291" s="34"/>
      <c r="J291" s="39"/>
      <c r="K291" s="34"/>
      <c r="L291" s="34"/>
      <c r="M291" s="34"/>
      <c r="N291" s="34"/>
      <c r="O291" s="34"/>
      <c r="P291" s="39"/>
      <c r="R291" s="40"/>
      <c r="S291" s="40"/>
      <c r="T291" s="40"/>
      <c r="U291" s="40"/>
    </row>
    <row r="292" spans="4:21" s="37" customFormat="1" ht="15.75" customHeight="1" x14ac:dyDescent="0.35">
      <c r="D292" s="40"/>
      <c r="E292" s="34"/>
      <c r="F292" s="34"/>
      <c r="G292" s="34"/>
      <c r="H292" s="34"/>
      <c r="I292" s="34"/>
      <c r="J292" s="39"/>
      <c r="K292" s="34"/>
      <c r="L292" s="34"/>
      <c r="M292" s="34"/>
      <c r="N292" s="34"/>
      <c r="O292" s="34"/>
      <c r="P292" s="39"/>
      <c r="R292" s="40"/>
      <c r="S292" s="40"/>
      <c r="T292" s="40"/>
      <c r="U292" s="40"/>
    </row>
    <row r="293" spans="4:21" s="37" customFormat="1" ht="15.75" customHeight="1" x14ac:dyDescent="0.35">
      <c r="D293" s="40"/>
      <c r="E293" s="34"/>
      <c r="F293" s="34"/>
      <c r="G293" s="34"/>
      <c r="H293" s="34"/>
      <c r="I293" s="34"/>
      <c r="J293" s="39"/>
      <c r="K293" s="34"/>
      <c r="L293" s="34"/>
      <c r="M293" s="34"/>
      <c r="N293" s="34"/>
      <c r="O293" s="34"/>
      <c r="P293" s="39"/>
      <c r="R293" s="40"/>
      <c r="S293" s="40"/>
      <c r="T293" s="40"/>
      <c r="U293" s="40"/>
    </row>
    <row r="294" spans="4:21" s="37" customFormat="1" ht="15.75" customHeight="1" x14ac:dyDescent="0.35">
      <c r="D294" s="40"/>
      <c r="E294" s="34"/>
      <c r="F294" s="34"/>
      <c r="G294" s="34"/>
      <c r="H294" s="34"/>
      <c r="I294" s="34"/>
      <c r="J294" s="39"/>
      <c r="K294" s="34"/>
      <c r="L294" s="34"/>
      <c r="M294" s="34"/>
      <c r="N294" s="34"/>
      <c r="O294" s="34"/>
      <c r="P294" s="39"/>
      <c r="R294" s="40"/>
      <c r="S294" s="40"/>
      <c r="T294" s="40"/>
      <c r="U294" s="40"/>
    </row>
    <row r="295" spans="4:21" s="37" customFormat="1" ht="15.75" customHeight="1" x14ac:dyDescent="0.35">
      <c r="D295" s="40"/>
      <c r="E295" s="34"/>
      <c r="F295" s="34"/>
      <c r="G295" s="34"/>
      <c r="H295" s="34"/>
      <c r="I295" s="34"/>
      <c r="J295" s="39"/>
      <c r="K295" s="34"/>
      <c r="L295" s="34"/>
      <c r="M295" s="34"/>
      <c r="N295" s="34"/>
      <c r="O295" s="34"/>
      <c r="P295" s="39"/>
      <c r="R295" s="40"/>
      <c r="S295" s="40"/>
      <c r="T295" s="40"/>
      <c r="U295" s="40"/>
    </row>
    <row r="296" spans="4:21" s="37" customFormat="1" ht="15.75" customHeight="1" x14ac:dyDescent="0.35">
      <c r="D296" s="40"/>
      <c r="E296" s="34"/>
      <c r="F296" s="34"/>
      <c r="G296" s="34"/>
      <c r="H296" s="34"/>
      <c r="I296" s="34"/>
      <c r="J296" s="39"/>
      <c r="K296" s="34"/>
      <c r="L296" s="34"/>
      <c r="M296" s="34"/>
      <c r="N296" s="34"/>
      <c r="O296" s="34"/>
      <c r="P296" s="39"/>
      <c r="R296" s="40"/>
      <c r="S296" s="40"/>
      <c r="T296" s="40"/>
      <c r="U296" s="40"/>
    </row>
    <row r="297" spans="4:21" s="37" customFormat="1" ht="15.75" customHeight="1" x14ac:dyDescent="0.35">
      <c r="D297" s="40"/>
      <c r="E297" s="34"/>
      <c r="F297" s="34"/>
      <c r="G297" s="34"/>
      <c r="H297" s="34"/>
      <c r="I297" s="34"/>
      <c r="J297" s="39"/>
      <c r="K297" s="34"/>
      <c r="L297" s="34"/>
      <c r="M297" s="34"/>
      <c r="N297" s="34"/>
      <c r="O297" s="34"/>
      <c r="P297" s="39"/>
      <c r="R297" s="40"/>
      <c r="S297" s="40"/>
      <c r="T297" s="40"/>
      <c r="U297" s="40"/>
    </row>
    <row r="298" spans="4:21" s="37" customFormat="1" ht="15.75" customHeight="1" x14ac:dyDescent="0.35">
      <c r="D298" s="40"/>
      <c r="E298" s="34"/>
      <c r="F298" s="34"/>
      <c r="G298" s="34"/>
      <c r="H298" s="34"/>
      <c r="I298" s="34"/>
      <c r="J298" s="39"/>
      <c r="K298" s="34"/>
      <c r="L298" s="34"/>
      <c r="M298" s="34"/>
      <c r="N298" s="34"/>
      <c r="O298" s="34"/>
      <c r="P298" s="39"/>
      <c r="R298" s="40"/>
      <c r="S298" s="40"/>
      <c r="T298" s="40"/>
      <c r="U298" s="40"/>
    </row>
    <row r="299" spans="4:21" s="37" customFormat="1" ht="15.75" customHeight="1" x14ac:dyDescent="0.35">
      <c r="D299" s="40"/>
      <c r="E299" s="34"/>
      <c r="F299" s="34"/>
      <c r="G299" s="34"/>
      <c r="H299" s="34"/>
      <c r="I299" s="34"/>
      <c r="J299" s="39"/>
      <c r="K299" s="34"/>
      <c r="L299" s="34"/>
      <c r="M299" s="34"/>
      <c r="N299" s="34"/>
      <c r="O299" s="34"/>
      <c r="P299" s="39"/>
      <c r="R299" s="40"/>
      <c r="S299" s="40"/>
      <c r="T299" s="40"/>
      <c r="U299" s="40"/>
    </row>
    <row r="300" spans="4:21" s="37" customFormat="1" ht="15.75" customHeight="1" x14ac:dyDescent="0.35">
      <c r="D300" s="40"/>
      <c r="E300" s="34"/>
      <c r="F300" s="34"/>
      <c r="G300" s="34"/>
      <c r="H300" s="34"/>
      <c r="I300" s="34"/>
      <c r="J300" s="39"/>
      <c r="K300" s="34"/>
      <c r="L300" s="34"/>
      <c r="M300" s="34"/>
      <c r="N300" s="34"/>
      <c r="O300" s="34"/>
      <c r="P300" s="39"/>
      <c r="R300" s="40"/>
      <c r="S300" s="40"/>
      <c r="T300" s="40"/>
      <c r="U300" s="40"/>
    </row>
    <row r="301" spans="4:21" s="37" customFormat="1" ht="15.75" customHeight="1" x14ac:dyDescent="0.35">
      <c r="D301" s="40"/>
      <c r="E301" s="34"/>
      <c r="F301" s="34"/>
      <c r="G301" s="34"/>
      <c r="H301" s="34"/>
      <c r="I301" s="34"/>
      <c r="J301" s="39"/>
      <c r="K301" s="34"/>
      <c r="L301" s="34"/>
      <c r="M301" s="34"/>
      <c r="N301" s="34"/>
      <c r="O301" s="34"/>
      <c r="P301" s="39"/>
      <c r="R301" s="40"/>
      <c r="S301" s="40"/>
      <c r="T301" s="40"/>
      <c r="U301" s="40"/>
    </row>
    <row r="302" spans="4:21" s="37" customFormat="1" ht="15.75" customHeight="1" x14ac:dyDescent="0.35">
      <c r="D302" s="40"/>
      <c r="E302" s="34"/>
      <c r="F302" s="34"/>
      <c r="G302" s="34"/>
      <c r="H302" s="34"/>
      <c r="I302" s="34"/>
      <c r="J302" s="39"/>
      <c r="K302" s="34"/>
      <c r="L302" s="34"/>
      <c r="M302" s="34"/>
      <c r="N302" s="34"/>
      <c r="O302" s="34"/>
      <c r="P302" s="39"/>
      <c r="R302" s="40"/>
      <c r="S302" s="40"/>
      <c r="T302" s="40"/>
      <c r="U302" s="40"/>
    </row>
    <row r="303" spans="4:21" s="37" customFormat="1" ht="15.75" customHeight="1" x14ac:dyDescent="0.35">
      <c r="D303" s="40"/>
      <c r="E303" s="34"/>
      <c r="F303" s="34"/>
      <c r="G303" s="34"/>
      <c r="H303" s="34"/>
      <c r="I303" s="34"/>
      <c r="J303" s="39"/>
      <c r="K303" s="34"/>
      <c r="L303" s="34"/>
      <c r="M303" s="34"/>
      <c r="N303" s="34"/>
      <c r="O303" s="34"/>
      <c r="P303" s="39"/>
      <c r="R303" s="40"/>
      <c r="S303" s="40"/>
      <c r="T303" s="40"/>
      <c r="U303" s="40"/>
    </row>
    <row r="304" spans="4:21" s="37" customFormat="1" ht="15.75" customHeight="1" x14ac:dyDescent="0.35">
      <c r="D304" s="40"/>
      <c r="E304" s="34"/>
      <c r="F304" s="34"/>
      <c r="G304" s="34"/>
      <c r="H304" s="34"/>
      <c r="I304" s="34"/>
      <c r="J304" s="39"/>
      <c r="K304" s="34"/>
      <c r="L304" s="34"/>
      <c r="M304" s="34"/>
      <c r="N304" s="34"/>
      <c r="O304" s="34"/>
      <c r="P304" s="39"/>
      <c r="R304" s="40"/>
      <c r="S304" s="40"/>
      <c r="T304" s="40"/>
      <c r="U304" s="40"/>
    </row>
    <row r="305" spans="4:21" s="37" customFormat="1" ht="15.75" customHeight="1" x14ac:dyDescent="0.35">
      <c r="D305" s="40"/>
      <c r="E305" s="34"/>
      <c r="F305" s="34"/>
      <c r="G305" s="34"/>
      <c r="H305" s="34"/>
      <c r="I305" s="34"/>
      <c r="J305" s="39"/>
      <c r="K305" s="34"/>
      <c r="L305" s="34"/>
      <c r="M305" s="34"/>
      <c r="N305" s="34"/>
      <c r="O305" s="34"/>
      <c r="P305" s="39"/>
      <c r="R305" s="40"/>
      <c r="S305" s="40"/>
      <c r="T305" s="40"/>
      <c r="U305" s="40"/>
    </row>
    <row r="306" spans="4:21" s="37" customFormat="1" ht="15.75" customHeight="1" x14ac:dyDescent="0.35">
      <c r="D306" s="40"/>
      <c r="E306" s="34"/>
      <c r="F306" s="34"/>
      <c r="G306" s="34"/>
      <c r="H306" s="34"/>
      <c r="I306" s="34"/>
      <c r="J306" s="39"/>
      <c r="K306" s="34"/>
      <c r="L306" s="34"/>
      <c r="M306" s="34"/>
      <c r="N306" s="34"/>
      <c r="O306" s="34"/>
      <c r="P306" s="39"/>
      <c r="R306" s="40"/>
      <c r="S306" s="40"/>
      <c r="T306" s="40"/>
      <c r="U306" s="40"/>
    </row>
    <row r="307" spans="4:21" s="37" customFormat="1" ht="15.75" customHeight="1" x14ac:dyDescent="0.35">
      <c r="D307" s="40"/>
      <c r="E307" s="34"/>
      <c r="F307" s="34"/>
      <c r="G307" s="34"/>
      <c r="H307" s="34"/>
      <c r="I307" s="34"/>
      <c r="J307" s="39"/>
      <c r="K307" s="34"/>
      <c r="L307" s="34"/>
      <c r="M307" s="34"/>
      <c r="N307" s="34"/>
      <c r="O307" s="34"/>
      <c r="P307" s="39"/>
      <c r="R307" s="40"/>
      <c r="S307" s="40"/>
      <c r="T307" s="40"/>
      <c r="U307" s="40"/>
    </row>
    <row r="308" spans="4:21" s="37" customFormat="1" ht="15.75" customHeight="1" x14ac:dyDescent="0.35">
      <c r="D308" s="40"/>
      <c r="E308" s="34"/>
      <c r="F308" s="34"/>
      <c r="G308" s="34"/>
      <c r="H308" s="34"/>
      <c r="I308" s="34"/>
      <c r="J308" s="39"/>
      <c r="K308" s="34"/>
      <c r="L308" s="34"/>
      <c r="M308" s="34"/>
      <c r="N308" s="34"/>
      <c r="O308" s="34"/>
      <c r="P308" s="39"/>
      <c r="R308" s="40"/>
      <c r="S308" s="40"/>
      <c r="T308" s="40"/>
      <c r="U308" s="40"/>
    </row>
    <row r="309" spans="4:21" s="37" customFormat="1" ht="15.75" customHeight="1" x14ac:dyDescent="0.35">
      <c r="D309" s="40"/>
      <c r="E309" s="34"/>
      <c r="F309" s="34"/>
      <c r="G309" s="34"/>
      <c r="H309" s="34"/>
      <c r="I309" s="34"/>
      <c r="J309" s="39"/>
      <c r="K309" s="34"/>
      <c r="L309" s="34"/>
      <c r="M309" s="34"/>
      <c r="N309" s="34"/>
      <c r="O309" s="34"/>
      <c r="P309" s="39"/>
      <c r="R309" s="40"/>
      <c r="S309" s="40"/>
      <c r="T309" s="40"/>
      <c r="U309" s="40"/>
    </row>
    <row r="310" spans="4:21" s="37" customFormat="1" ht="15.75" customHeight="1" x14ac:dyDescent="0.35">
      <c r="D310" s="40"/>
      <c r="E310" s="34"/>
      <c r="F310" s="34"/>
      <c r="G310" s="34"/>
      <c r="H310" s="34"/>
      <c r="I310" s="34"/>
      <c r="J310" s="39"/>
      <c r="K310" s="34"/>
      <c r="L310" s="34"/>
      <c r="M310" s="34"/>
      <c r="N310" s="34"/>
      <c r="O310" s="34"/>
      <c r="P310" s="39"/>
      <c r="R310" s="40"/>
      <c r="S310" s="40"/>
      <c r="T310" s="40"/>
      <c r="U310" s="40"/>
    </row>
    <row r="311" spans="4:21" s="37" customFormat="1" ht="15.75" customHeight="1" x14ac:dyDescent="0.35">
      <c r="D311" s="40"/>
      <c r="E311" s="34"/>
      <c r="F311" s="34"/>
      <c r="G311" s="34"/>
      <c r="H311" s="34"/>
      <c r="I311" s="34"/>
      <c r="J311" s="39"/>
      <c r="K311" s="34"/>
      <c r="L311" s="34"/>
      <c r="M311" s="34"/>
      <c r="N311" s="34"/>
      <c r="O311" s="34"/>
      <c r="P311" s="39"/>
      <c r="R311" s="40"/>
      <c r="S311" s="40"/>
      <c r="T311" s="40"/>
      <c r="U311" s="40"/>
    </row>
    <row r="312" spans="4:21" s="37" customFormat="1" ht="15.75" customHeight="1" x14ac:dyDescent="0.35">
      <c r="D312" s="40"/>
      <c r="E312" s="34"/>
      <c r="F312" s="34"/>
      <c r="G312" s="34"/>
      <c r="H312" s="34"/>
      <c r="I312" s="34"/>
      <c r="J312" s="39"/>
      <c r="K312" s="34"/>
      <c r="L312" s="34"/>
      <c r="M312" s="34"/>
      <c r="N312" s="34"/>
      <c r="O312" s="34"/>
      <c r="P312" s="39"/>
      <c r="R312" s="40"/>
      <c r="S312" s="40"/>
      <c r="T312" s="40"/>
      <c r="U312" s="40"/>
    </row>
    <row r="313" spans="4:21" s="37" customFormat="1" ht="15.75" customHeight="1" x14ac:dyDescent="0.35">
      <c r="D313" s="40"/>
      <c r="E313" s="34"/>
      <c r="F313" s="34"/>
      <c r="G313" s="34"/>
      <c r="H313" s="34"/>
      <c r="I313" s="34"/>
      <c r="J313" s="39"/>
      <c r="K313" s="34"/>
      <c r="L313" s="34"/>
      <c r="M313" s="34"/>
      <c r="N313" s="34"/>
      <c r="O313" s="34"/>
      <c r="P313" s="39"/>
      <c r="R313" s="40"/>
      <c r="S313" s="40"/>
      <c r="T313" s="40"/>
      <c r="U313" s="40"/>
    </row>
    <row r="314" spans="4:21" s="37" customFormat="1" ht="15.75" customHeight="1" x14ac:dyDescent="0.35">
      <c r="D314" s="40"/>
      <c r="E314" s="34"/>
      <c r="F314" s="34"/>
      <c r="G314" s="34"/>
      <c r="H314" s="34"/>
      <c r="I314" s="34"/>
      <c r="J314" s="39"/>
      <c r="K314" s="34"/>
      <c r="L314" s="34"/>
      <c r="M314" s="34"/>
      <c r="N314" s="34"/>
      <c r="O314" s="34"/>
      <c r="P314" s="39"/>
      <c r="R314" s="40"/>
      <c r="S314" s="40"/>
      <c r="T314" s="40"/>
      <c r="U314" s="40"/>
    </row>
    <row r="315" spans="4:21" s="37" customFormat="1" ht="15.75" customHeight="1" x14ac:dyDescent="0.35">
      <c r="D315" s="40"/>
      <c r="E315" s="34"/>
      <c r="F315" s="34"/>
      <c r="G315" s="34"/>
      <c r="H315" s="34"/>
      <c r="I315" s="34"/>
      <c r="J315" s="39"/>
      <c r="K315" s="34"/>
      <c r="L315" s="34"/>
      <c r="M315" s="34"/>
      <c r="N315" s="34"/>
      <c r="O315" s="34"/>
      <c r="P315" s="39"/>
      <c r="R315" s="40"/>
      <c r="S315" s="40"/>
      <c r="T315" s="40"/>
      <c r="U315" s="40"/>
    </row>
    <row r="316" spans="4:21" s="37" customFormat="1" ht="15.75" customHeight="1" x14ac:dyDescent="0.35">
      <c r="D316" s="40"/>
      <c r="E316" s="34"/>
      <c r="F316" s="34"/>
      <c r="G316" s="34"/>
      <c r="H316" s="34"/>
      <c r="I316" s="34"/>
      <c r="J316" s="39"/>
      <c r="K316" s="34"/>
      <c r="L316" s="34"/>
      <c r="M316" s="34"/>
      <c r="N316" s="34"/>
      <c r="O316" s="34"/>
      <c r="P316" s="39"/>
      <c r="R316" s="40"/>
      <c r="S316" s="40"/>
      <c r="T316" s="40"/>
      <c r="U316" s="40"/>
    </row>
    <row r="317" spans="4:21" s="37" customFormat="1" ht="15.75" customHeight="1" x14ac:dyDescent="0.35">
      <c r="D317" s="40"/>
      <c r="E317" s="34"/>
      <c r="F317" s="34"/>
      <c r="G317" s="34"/>
      <c r="H317" s="34"/>
      <c r="I317" s="34"/>
      <c r="J317" s="39"/>
      <c r="K317" s="34"/>
      <c r="L317" s="34"/>
      <c r="M317" s="34"/>
      <c r="N317" s="34"/>
      <c r="O317" s="34"/>
      <c r="P317" s="39"/>
      <c r="R317" s="40"/>
      <c r="S317" s="40"/>
      <c r="T317" s="40"/>
      <c r="U317" s="40"/>
    </row>
    <row r="318" spans="4:21" s="37" customFormat="1" ht="15.75" customHeight="1" x14ac:dyDescent="0.35">
      <c r="D318" s="40"/>
      <c r="E318" s="34"/>
      <c r="F318" s="34"/>
      <c r="G318" s="34"/>
      <c r="H318" s="34"/>
      <c r="I318" s="34"/>
      <c r="J318" s="39"/>
      <c r="K318" s="34"/>
      <c r="L318" s="34"/>
      <c r="M318" s="34"/>
      <c r="N318" s="34"/>
      <c r="O318" s="34"/>
      <c r="P318" s="39"/>
      <c r="R318" s="40"/>
      <c r="S318" s="40"/>
      <c r="T318" s="40"/>
      <c r="U318" s="40"/>
    </row>
    <row r="319" spans="4:21" s="37" customFormat="1" ht="15.75" customHeight="1" x14ac:dyDescent="0.35">
      <c r="D319" s="40"/>
      <c r="E319" s="34"/>
      <c r="F319" s="34"/>
      <c r="G319" s="34"/>
      <c r="H319" s="34"/>
      <c r="I319" s="34"/>
      <c r="J319" s="39"/>
      <c r="K319" s="34"/>
      <c r="L319" s="34"/>
      <c r="M319" s="34"/>
      <c r="N319" s="34"/>
      <c r="O319" s="34"/>
      <c r="P319" s="39"/>
      <c r="R319" s="40"/>
      <c r="S319" s="40"/>
      <c r="T319" s="40"/>
      <c r="U319" s="40"/>
    </row>
    <row r="320" spans="4:21" s="37" customFormat="1" ht="15.75" customHeight="1" x14ac:dyDescent="0.35">
      <c r="D320" s="40"/>
      <c r="E320" s="34"/>
      <c r="F320" s="34"/>
      <c r="G320" s="34"/>
      <c r="H320" s="34"/>
      <c r="I320" s="34"/>
      <c r="J320" s="39"/>
      <c r="K320" s="34"/>
      <c r="L320" s="34"/>
      <c r="M320" s="34"/>
      <c r="N320" s="34"/>
      <c r="O320" s="34"/>
      <c r="P320" s="39"/>
      <c r="R320" s="40"/>
      <c r="S320" s="40"/>
      <c r="T320" s="40"/>
      <c r="U320" s="40"/>
    </row>
    <row r="321" spans="4:21" s="37" customFormat="1" ht="15.75" customHeight="1" x14ac:dyDescent="0.35">
      <c r="D321" s="40"/>
      <c r="E321" s="34"/>
      <c r="F321" s="34"/>
      <c r="G321" s="34"/>
      <c r="H321" s="34"/>
      <c r="I321" s="34"/>
      <c r="J321" s="39"/>
      <c r="K321" s="34"/>
      <c r="L321" s="34"/>
      <c r="M321" s="34"/>
      <c r="N321" s="34"/>
      <c r="O321" s="34"/>
      <c r="P321" s="39"/>
      <c r="R321" s="40"/>
      <c r="S321" s="40"/>
      <c r="T321" s="40"/>
      <c r="U321" s="40"/>
    </row>
    <row r="322" spans="4:21" s="37" customFormat="1" ht="15.75" customHeight="1" x14ac:dyDescent="0.35">
      <c r="D322" s="40"/>
      <c r="E322" s="34"/>
      <c r="F322" s="34"/>
      <c r="G322" s="34"/>
      <c r="H322" s="34"/>
      <c r="I322" s="34"/>
      <c r="J322" s="39"/>
      <c r="K322" s="34"/>
      <c r="L322" s="34"/>
      <c r="M322" s="34"/>
      <c r="N322" s="34"/>
      <c r="O322" s="34"/>
      <c r="P322" s="39"/>
      <c r="R322" s="40"/>
      <c r="S322" s="40"/>
      <c r="T322" s="40"/>
      <c r="U322" s="40"/>
    </row>
    <row r="323" spans="4:21" s="37" customFormat="1" ht="15.75" customHeight="1" x14ac:dyDescent="0.35">
      <c r="D323" s="40"/>
      <c r="E323" s="34"/>
      <c r="F323" s="34"/>
      <c r="G323" s="34"/>
      <c r="H323" s="34"/>
      <c r="I323" s="34"/>
      <c r="J323" s="39"/>
      <c r="K323" s="34"/>
      <c r="L323" s="34"/>
      <c r="M323" s="34"/>
      <c r="N323" s="34"/>
      <c r="O323" s="34"/>
      <c r="P323" s="39"/>
      <c r="R323" s="40"/>
      <c r="S323" s="40"/>
      <c r="T323" s="40"/>
      <c r="U323" s="40"/>
    </row>
    <row r="324" spans="4:21" s="37" customFormat="1" ht="15.75" customHeight="1" x14ac:dyDescent="0.35">
      <c r="D324" s="40"/>
      <c r="E324" s="34"/>
      <c r="F324" s="34"/>
      <c r="G324" s="34"/>
      <c r="H324" s="34"/>
      <c r="I324" s="34"/>
      <c r="J324" s="39"/>
      <c r="K324" s="34"/>
      <c r="L324" s="34"/>
      <c r="M324" s="34"/>
      <c r="N324" s="34"/>
      <c r="O324" s="34"/>
      <c r="P324" s="39"/>
      <c r="R324" s="40"/>
      <c r="S324" s="40"/>
      <c r="T324" s="40"/>
      <c r="U324" s="40"/>
    </row>
    <row r="325" spans="4:21" s="37" customFormat="1" ht="15.75" customHeight="1" x14ac:dyDescent="0.35">
      <c r="D325" s="40"/>
      <c r="E325" s="34"/>
      <c r="F325" s="34"/>
      <c r="G325" s="34"/>
      <c r="H325" s="34"/>
      <c r="I325" s="34"/>
      <c r="J325" s="39"/>
      <c r="K325" s="34"/>
      <c r="L325" s="34"/>
      <c r="M325" s="34"/>
      <c r="N325" s="34"/>
      <c r="O325" s="34"/>
      <c r="P325" s="39"/>
      <c r="R325" s="40"/>
      <c r="S325" s="40"/>
      <c r="T325" s="40"/>
      <c r="U325" s="40"/>
    </row>
    <row r="326" spans="4:21" s="37" customFormat="1" ht="15.75" customHeight="1" x14ac:dyDescent="0.35">
      <c r="D326" s="40"/>
      <c r="E326" s="34"/>
      <c r="F326" s="34"/>
      <c r="G326" s="34"/>
      <c r="H326" s="34"/>
      <c r="I326" s="34"/>
      <c r="J326" s="39"/>
      <c r="K326" s="34"/>
      <c r="L326" s="34"/>
      <c r="M326" s="34"/>
      <c r="N326" s="34"/>
      <c r="O326" s="34"/>
      <c r="P326" s="39"/>
      <c r="R326" s="40"/>
      <c r="S326" s="40"/>
      <c r="T326" s="40"/>
      <c r="U326" s="40"/>
    </row>
    <row r="327" spans="4:21" s="37" customFormat="1" ht="15.75" customHeight="1" x14ac:dyDescent="0.35">
      <c r="D327" s="40"/>
      <c r="E327" s="34"/>
      <c r="F327" s="34"/>
      <c r="G327" s="34"/>
      <c r="H327" s="34"/>
      <c r="I327" s="34"/>
      <c r="J327" s="39"/>
      <c r="K327" s="34"/>
      <c r="L327" s="34"/>
      <c r="M327" s="34"/>
      <c r="N327" s="34"/>
      <c r="O327" s="34"/>
      <c r="P327" s="39"/>
      <c r="R327" s="40"/>
      <c r="S327" s="40"/>
      <c r="T327" s="40"/>
      <c r="U327" s="40"/>
    </row>
    <row r="328" spans="4:21" s="37" customFormat="1" ht="15.75" customHeight="1" x14ac:dyDescent="0.35">
      <c r="D328" s="40"/>
      <c r="E328" s="34"/>
      <c r="F328" s="34"/>
      <c r="G328" s="34"/>
      <c r="H328" s="34"/>
      <c r="I328" s="34"/>
      <c r="J328" s="39"/>
      <c r="K328" s="34"/>
      <c r="L328" s="34"/>
      <c r="M328" s="34"/>
      <c r="N328" s="34"/>
      <c r="O328" s="34"/>
      <c r="P328" s="39"/>
      <c r="R328" s="40"/>
      <c r="S328" s="40"/>
      <c r="T328" s="40"/>
      <c r="U328" s="40"/>
    </row>
    <row r="329" spans="4:21" s="37" customFormat="1" ht="15.75" customHeight="1" x14ac:dyDescent="0.35">
      <c r="D329" s="40"/>
      <c r="E329" s="34"/>
      <c r="F329" s="34"/>
      <c r="G329" s="34"/>
      <c r="H329" s="34"/>
      <c r="I329" s="34"/>
      <c r="J329" s="39"/>
      <c r="K329" s="34"/>
      <c r="L329" s="34"/>
      <c r="M329" s="34"/>
      <c r="N329" s="34"/>
      <c r="O329" s="34"/>
      <c r="P329" s="39"/>
      <c r="R329" s="40"/>
      <c r="S329" s="40"/>
      <c r="T329" s="40"/>
      <c r="U329" s="40"/>
    </row>
    <row r="330" spans="4:21" s="37" customFormat="1" ht="15.75" customHeight="1" x14ac:dyDescent="0.35">
      <c r="D330" s="40"/>
      <c r="E330" s="34"/>
      <c r="F330" s="34"/>
      <c r="G330" s="34"/>
      <c r="H330" s="34"/>
      <c r="I330" s="34"/>
      <c r="J330" s="39"/>
      <c r="K330" s="34"/>
      <c r="L330" s="34"/>
      <c r="M330" s="34"/>
      <c r="N330" s="34"/>
      <c r="O330" s="34"/>
      <c r="P330" s="39"/>
      <c r="R330" s="40"/>
      <c r="S330" s="40"/>
      <c r="T330" s="40"/>
      <c r="U330" s="40"/>
    </row>
    <row r="331" spans="4:21" s="37" customFormat="1" ht="15.75" customHeight="1" x14ac:dyDescent="0.35">
      <c r="D331" s="40"/>
      <c r="E331" s="34"/>
      <c r="F331" s="34"/>
      <c r="G331" s="34"/>
      <c r="H331" s="34"/>
      <c r="I331" s="34"/>
      <c r="J331" s="39"/>
      <c r="K331" s="34"/>
      <c r="L331" s="34"/>
      <c r="M331" s="34"/>
      <c r="N331" s="34"/>
      <c r="O331" s="34"/>
      <c r="P331" s="39"/>
      <c r="R331" s="40"/>
      <c r="S331" s="40"/>
      <c r="T331" s="40"/>
      <c r="U331" s="40"/>
    </row>
    <row r="332" spans="4:21" s="37" customFormat="1" ht="15.75" customHeight="1" x14ac:dyDescent="0.35">
      <c r="D332" s="40"/>
      <c r="E332" s="34"/>
      <c r="F332" s="34"/>
      <c r="G332" s="34"/>
      <c r="H332" s="34"/>
      <c r="I332" s="34"/>
      <c r="J332" s="39"/>
      <c r="K332" s="34"/>
      <c r="L332" s="34"/>
      <c r="M332" s="34"/>
      <c r="N332" s="34"/>
      <c r="O332" s="34"/>
      <c r="P332" s="39"/>
      <c r="R332" s="40"/>
      <c r="S332" s="40"/>
      <c r="T332" s="40"/>
      <c r="U332" s="40"/>
    </row>
    <row r="333" spans="4:21" s="37" customFormat="1" ht="15.75" customHeight="1" x14ac:dyDescent="0.35">
      <c r="D333" s="40"/>
      <c r="E333" s="34"/>
      <c r="F333" s="34"/>
      <c r="G333" s="34"/>
      <c r="H333" s="34"/>
      <c r="I333" s="34"/>
      <c r="J333" s="39"/>
      <c r="K333" s="34"/>
      <c r="L333" s="34"/>
      <c r="M333" s="34"/>
      <c r="N333" s="34"/>
      <c r="O333" s="34"/>
      <c r="P333" s="39"/>
      <c r="R333" s="40"/>
      <c r="S333" s="40"/>
      <c r="T333" s="40"/>
      <c r="U333" s="40"/>
    </row>
    <row r="334" spans="4:21" s="37" customFormat="1" ht="15.75" customHeight="1" x14ac:dyDescent="0.35">
      <c r="D334" s="40"/>
      <c r="E334" s="34"/>
      <c r="F334" s="34"/>
      <c r="G334" s="34"/>
      <c r="H334" s="34"/>
      <c r="I334" s="34"/>
      <c r="J334" s="39"/>
      <c r="K334" s="34"/>
      <c r="L334" s="34"/>
      <c r="M334" s="34"/>
      <c r="N334" s="34"/>
      <c r="O334" s="34"/>
      <c r="P334" s="39"/>
      <c r="R334" s="40"/>
      <c r="S334" s="40"/>
      <c r="T334" s="40"/>
      <c r="U334" s="40"/>
    </row>
    <row r="335" spans="4:21" s="37" customFormat="1" ht="15.75" customHeight="1" x14ac:dyDescent="0.35">
      <c r="D335" s="40"/>
      <c r="E335" s="34"/>
      <c r="F335" s="34"/>
      <c r="G335" s="34"/>
      <c r="H335" s="34"/>
      <c r="I335" s="34"/>
      <c r="J335" s="39"/>
      <c r="K335" s="34"/>
      <c r="L335" s="34"/>
      <c r="M335" s="34"/>
      <c r="N335" s="34"/>
      <c r="O335" s="34"/>
      <c r="P335" s="39"/>
      <c r="R335" s="40"/>
      <c r="S335" s="40"/>
      <c r="T335" s="40"/>
      <c r="U335" s="40"/>
    </row>
    <row r="336" spans="4:21" s="37" customFormat="1" ht="15.75" customHeight="1" x14ac:dyDescent="0.35">
      <c r="D336" s="40"/>
      <c r="E336" s="34"/>
      <c r="F336" s="34"/>
      <c r="G336" s="34"/>
      <c r="H336" s="34"/>
      <c r="I336" s="34"/>
      <c r="J336" s="39"/>
      <c r="K336" s="34"/>
      <c r="L336" s="34"/>
      <c r="M336" s="34"/>
      <c r="N336" s="34"/>
      <c r="O336" s="34"/>
      <c r="P336" s="39"/>
      <c r="R336" s="40"/>
      <c r="S336" s="40"/>
      <c r="T336" s="40"/>
      <c r="U336" s="40"/>
    </row>
    <row r="337" spans="4:21" s="37" customFormat="1" ht="15.75" customHeight="1" x14ac:dyDescent="0.35">
      <c r="D337" s="40"/>
      <c r="E337" s="34"/>
      <c r="F337" s="34"/>
      <c r="G337" s="34"/>
      <c r="H337" s="34"/>
      <c r="I337" s="34"/>
      <c r="J337" s="39"/>
      <c r="K337" s="34"/>
      <c r="L337" s="34"/>
      <c r="M337" s="34"/>
      <c r="N337" s="34"/>
      <c r="O337" s="34"/>
      <c r="P337" s="39"/>
      <c r="R337" s="40"/>
      <c r="S337" s="40"/>
      <c r="T337" s="40"/>
      <c r="U337" s="40"/>
    </row>
    <row r="338" spans="4:21" s="37" customFormat="1" ht="15.75" customHeight="1" x14ac:dyDescent="0.35">
      <c r="D338" s="40"/>
      <c r="E338" s="34"/>
      <c r="F338" s="34"/>
      <c r="G338" s="34"/>
      <c r="H338" s="34"/>
      <c r="I338" s="34"/>
      <c r="J338" s="39"/>
      <c r="K338" s="34"/>
      <c r="L338" s="34"/>
      <c r="M338" s="34"/>
      <c r="N338" s="34"/>
      <c r="O338" s="34"/>
      <c r="P338" s="39"/>
      <c r="R338" s="40"/>
      <c r="S338" s="40"/>
      <c r="T338" s="40"/>
      <c r="U338" s="40"/>
    </row>
    <row r="339" spans="4:21" s="37" customFormat="1" ht="15.75" customHeight="1" x14ac:dyDescent="0.35">
      <c r="D339" s="40"/>
      <c r="E339" s="34"/>
      <c r="F339" s="34"/>
      <c r="G339" s="34"/>
      <c r="H339" s="34"/>
      <c r="I339" s="34"/>
      <c r="J339" s="39"/>
      <c r="K339" s="34"/>
      <c r="L339" s="34"/>
      <c r="M339" s="34"/>
      <c r="N339" s="34"/>
      <c r="O339" s="34"/>
      <c r="P339" s="39"/>
      <c r="R339" s="40"/>
      <c r="S339" s="40"/>
      <c r="T339" s="40"/>
      <c r="U339" s="40"/>
    </row>
    <row r="340" spans="4:21" s="37" customFormat="1" ht="15.75" customHeight="1" x14ac:dyDescent="0.35">
      <c r="D340" s="40"/>
      <c r="E340" s="34"/>
      <c r="F340" s="34"/>
      <c r="G340" s="34"/>
      <c r="H340" s="34"/>
      <c r="I340" s="34"/>
      <c r="J340" s="39"/>
      <c r="K340" s="34"/>
      <c r="L340" s="34"/>
      <c r="M340" s="34"/>
      <c r="N340" s="34"/>
      <c r="O340" s="34"/>
      <c r="P340" s="39"/>
      <c r="R340" s="40"/>
      <c r="S340" s="40"/>
      <c r="T340" s="40"/>
      <c r="U340" s="40"/>
    </row>
    <row r="341" spans="4:21" s="37" customFormat="1" ht="15.75" customHeight="1" x14ac:dyDescent="0.35">
      <c r="D341" s="40"/>
      <c r="E341" s="34"/>
      <c r="F341" s="34"/>
      <c r="G341" s="34"/>
      <c r="H341" s="34"/>
      <c r="I341" s="34"/>
      <c r="J341" s="39"/>
      <c r="K341" s="34"/>
      <c r="L341" s="34"/>
      <c r="M341" s="34"/>
      <c r="N341" s="34"/>
      <c r="O341" s="34"/>
      <c r="P341" s="39"/>
      <c r="R341" s="40"/>
      <c r="S341" s="40"/>
      <c r="T341" s="40"/>
      <c r="U341" s="40"/>
    </row>
    <row r="342" spans="4:21" s="37" customFormat="1" ht="15.75" customHeight="1" x14ac:dyDescent="0.35">
      <c r="D342" s="40"/>
      <c r="E342" s="34"/>
      <c r="F342" s="34"/>
      <c r="G342" s="34"/>
      <c r="H342" s="34"/>
      <c r="I342" s="34"/>
      <c r="J342" s="39"/>
      <c r="K342" s="34"/>
      <c r="L342" s="34"/>
      <c r="M342" s="34"/>
      <c r="N342" s="34"/>
      <c r="O342" s="34"/>
      <c r="P342" s="39"/>
      <c r="R342" s="40"/>
      <c r="S342" s="40"/>
      <c r="T342" s="40"/>
      <c r="U342" s="40"/>
    </row>
    <row r="343" spans="4:21" s="37" customFormat="1" ht="15.75" customHeight="1" x14ac:dyDescent="0.35">
      <c r="D343" s="40"/>
      <c r="E343" s="34"/>
      <c r="F343" s="34"/>
      <c r="G343" s="34"/>
      <c r="H343" s="34"/>
      <c r="I343" s="34"/>
      <c r="J343" s="39"/>
      <c r="K343" s="34"/>
      <c r="L343" s="34"/>
      <c r="M343" s="34"/>
      <c r="N343" s="34"/>
      <c r="O343" s="34"/>
      <c r="P343" s="39"/>
      <c r="R343" s="40"/>
      <c r="S343" s="40"/>
      <c r="T343" s="40"/>
      <c r="U343" s="40"/>
    </row>
    <row r="344" spans="4:21" s="37" customFormat="1" ht="15.75" customHeight="1" x14ac:dyDescent="0.35">
      <c r="D344" s="40"/>
      <c r="E344" s="34"/>
      <c r="F344" s="34"/>
      <c r="G344" s="34"/>
      <c r="H344" s="34"/>
      <c r="I344" s="34"/>
      <c r="J344" s="39"/>
      <c r="K344" s="34"/>
      <c r="L344" s="34"/>
      <c r="M344" s="34"/>
      <c r="N344" s="34"/>
      <c r="O344" s="34"/>
      <c r="P344" s="39"/>
      <c r="R344" s="40"/>
      <c r="S344" s="40"/>
      <c r="T344" s="40"/>
      <c r="U344" s="40"/>
    </row>
    <row r="345" spans="4:21" s="37" customFormat="1" ht="15.75" customHeight="1" x14ac:dyDescent="0.35">
      <c r="D345" s="40"/>
      <c r="E345" s="34"/>
      <c r="F345" s="34"/>
      <c r="G345" s="34"/>
      <c r="H345" s="34"/>
      <c r="I345" s="34"/>
      <c r="J345" s="39"/>
      <c r="K345" s="34"/>
      <c r="L345" s="34"/>
      <c r="M345" s="34"/>
      <c r="N345" s="34"/>
      <c r="O345" s="34"/>
      <c r="P345" s="39"/>
      <c r="R345" s="40"/>
      <c r="S345" s="40"/>
      <c r="T345" s="40"/>
      <c r="U345" s="40"/>
    </row>
    <row r="346" spans="4:21" s="37" customFormat="1" ht="15.75" customHeight="1" x14ac:dyDescent="0.35">
      <c r="D346" s="40"/>
      <c r="E346" s="34"/>
      <c r="F346" s="34"/>
      <c r="G346" s="34"/>
      <c r="H346" s="34"/>
      <c r="I346" s="34"/>
      <c r="J346" s="39"/>
      <c r="K346" s="34"/>
      <c r="L346" s="34"/>
      <c r="M346" s="34"/>
      <c r="N346" s="34"/>
      <c r="O346" s="34"/>
      <c r="P346" s="39"/>
      <c r="R346" s="40"/>
      <c r="S346" s="40"/>
      <c r="T346" s="40"/>
      <c r="U346" s="40"/>
    </row>
    <row r="347" spans="4:21" s="37" customFormat="1" ht="15.75" customHeight="1" x14ac:dyDescent="0.35">
      <c r="D347" s="40"/>
      <c r="E347" s="34"/>
      <c r="F347" s="34"/>
      <c r="G347" s="34"/>
      <c r="H347" s="34"/>
      <c r="I347" s="34"/>
      <c r="J347" s="39"/>
      <c r="K347" s="34"/>
      <c r="L347" s="34"/>
      <c r="M347" s="34"/>
      <c r="N347" s="34"/>
      <c r="O347" s="34"/>
      <c r="P347" s="39"/>
      <c r="R347" s="40"/>
      <c r="S347" s="40"/>
      <c r="T347" s="40"/>
      <c r="U347" s="40"/>
    </row>
    <row r="348" spans="4:21" s="37" customFormat="1" ht="15.75" customHeight="1" x14ac:dyDescent="0.35">
      <c r="D348" s="40"/>
      <c r="E348" s="34"/>
      <c r="F348" s="34"/>
      <c r="G348" s="34"/>
      <c r="H348" s="34"/>
      <c r="I348" s="34"/>
      <c r="J348" s="39"/>
      <c r="K348" s="34"/>
      <c r="L348" s="34"/>
      <c r="M348" s="34"/>
      <c r="N348" s="34"/>
      <c r="O348" s="34"/>
      <c r="P348" s="39"/>
      <c r="R348" s="40"/>
      <c r="S348" s="40"/>
      <c r="T348" s="40"/>
      <c r="U348" s="40"/>
    </row>
    <row r="349" spans="4:21" s="37" customFormat="1" ht="15.75" customHeight="1" x14ac:dyDescent="0.35">
      <c r="D349" s="40"/>
      <c r="E349" s="34"/>
      <c r="F349" s="34"/>
      <c r="G349" s="34"/>
      <c r="H349" s="34"/>
      <c r="I349" s="34"/>
      <c r="J349" s="39"/>
      <c r="K349" s="34"/>
      <c r="L349" s="34"/>
      <c r="M349" s="34"/>
      <c r="N349" s="34"/>
      <c r="O349" s="34"/>
      <c r="P349" s="39"/>
      <c r="R349" s="40"/>
      <c r="S349" s="40"/>
      <c r="T349" s="40"/>
      <c r="U349" s="40"/>
    </row>
    <row r="350" spans="4:21" s="37" customFormat="1" ht="15.75" customHeight="1" x14ac:dyDescent="0.35">
      <c r="D350" s="40"/>
      <c r="E350" s="34"/>
      <c r="F350" s="34"/>
      <c r="G350" s="34"/>
      <c r="H350" s="34"/>
      <c r="I350" s="34"/>
      <c r="J350" s="39"/>
      <c r="K350" s="34"/>
      <c r="L350" s="34"/>
      <c r="M350" s="34"/>
      <c r="N350" s="34"/>
      <c r="O350" s="34"/>
      <c r="P350" s="39"/>
      <c r="R350" s="40"/>
      <c r="S350" s="40"/>
      <c r="T350" s="40"/>
      <c r="U350" s="40"/>
    </row>
    <row r="351" spans="4:21" s="37" customFormat="1" ht="15.75" customHeight="1" x14ac:dyDescent="0.35">
      <c r="D351" s="40"/>
      <c r="E351" s="34"/>
      <c r="F351" s="34"/>
      <c r="G351" s="34"/>
      <c r="H351" s="34"/>
      <c r="I351" s="34"/>
      <c r="J351" s="39"/>
      <c r="K351" s="34"/>
      <c r="L351" s="34"/>
      <c r="M351" s="34"/>
      <c r="N351" s="34"/>
      <c r="O351" s="34"/>
      <c r="P351" s="39"/>
      <c r="R351" s="40"/>
      <c r="S351" s="40"/>
      <c r="T351" s="40"/>
      <c r="U351" s="40"/>
    </row>
    <row r="352" spans="4:21" s="37" customFormat="1" ht="15.75" customHeight="1" x14ac:dyDescent="0.35">
      <c r="D352" s="40"/>
      <c r="E352" s="34"/>
      <c r="F352" s="34"/>
      <c r="G352" s="34"/>
      <c r="H352" s="34"/>
      <c r="I352" s="34"/>
      <c r="J352" s="39"/>
      <c r="K352" s="34"/>
      <c r="L352" s="34"/>
      <c r="M352" s="34"/>
      <c r="N352" s="34"/>
      <c r="O352" s="34"/>
      <c r="P352" s="39"/>
      <c r="R352" s="40"/>
      <c r="S352" s="40"/>
      <c r="T352" s="40"/>
      <c r="U352" s="40"/>
    </row>
    <row r="353" spans="4:21" s="37" customFormat="1" ht="15.75" customHeight="1" x14ac:dyDescent="0.35">
      <c r="D353" s="40"/>
      <c r="E353" s="34"/>
      <c r="F353" s="34"/>
      <c r="G353" s="34"/>
      <c r="H353" s="34"/>
      <c r="I353" s="34"/>
      <c r="J353" s="39"/>
      <c r="K353" s="34"/>
      <c r="L353" s="34"/>
      <c r="M353" s="34"/>
      <c r="N353" s="34"/>
      <c r="O353" s="34"/>
      <c r="P353" s="39"/>
      <c r="R353" s="40"/>
      <c r="S353" s="40"/>
      <c r="T353" s="40"/>
      <c r="U353" s="40"/>
    </row>
    <row r="354" spans="4:21" s="37" customFormat="1" ht="15.75" customHeight="1" x14ac:dyDescent="0.35">
      <c r="D354" s="40"/>
      <c r="E354" s="34"/>
      <c r="F354" s="34"/>
      <c r="G354" s="34"/>
      <c r="H354" s="34"/>
      <c r="I354" s="34"/>
      <c r="J354" s="39"/>
      <c r="K354" s="34"/>
      <c r="L354" s="34"/>
      <c r="M354" s="34"/>
      <c r="N354" s="34"/>
      <c r="O354" s="34"/>
      <c r="P354" s="39"/>
      <c r="R354" s="40"/>
      <c r="S354" s="40"/>
      <c r="T354" s="40"/>
      <c r="U354" s="40"/>
    </row>
    <row r="355" spans="4:21" s="37" customFormat="1" ht="15.75" customHeight="1" x14ac:dyDescent="0.35">
      <c r="D355" s="40"/>
      <c r="E355" s="34"/>
      <c r="F355" s="34"/>
      <c r="G355" s="34"/>
      <c r="H355" s="34"/>
      <c r="I355" s="34"/>
      <c r="J355" s="39"/>
      <c r="K355" s="34"/>
      <c r="L355" s="34"/>
      <c r="M355" s="34"/>
      <c r="N355" s="34"/>
      <c r="O355" s="34"/>
      <c r="P355" s="39"/>
      <c r="R355" s="40"/>
      <c r="S355" s="40"/>
      <c r="T355" s="40"/>
      <c r="U355" s="40"/>
    </row>
    <row r="356" spans="4:21" s="37" customFormat="1" ht="15.75" customHeight="1" x14ac:dyDescent="0.35">
      <c r="D356" s="40"/>
      <c r="E356" s="34"/>
      <c r="F356" s="34"/>
      <c r="G356" s="34"/>
      <c r="H356" s="34"/>
      <c r="I356" s="34"/>
      <c r="J356" s="39"/>
      <c r="K356" s="34"/>
      <c r="L356" s="34"/>
      <c r="M356" s="34"/>
      <c r="N356" s="34"/>
      <c r="O356" s="34"/>
      <c r="P356" s="39"/>
      <c r="R356" s="40"/>
      <c r="S356" s="40"/>
      <c r="T356" s="40"/>
      <c r="U356" s="40"/>
    </row>
    <row r="357" spans="4:21" s="37" customFormat="1" ht="15.75" customHeight="1" x14ac:dyDescent="0.35">
      <c r="D357" s="40"/>
      <c r="E357" s="34"/>
      <c r="F357" s="34"/>
      <c r="G357" s="34"/>
      <c r="H357" s="34"/>
      <c r="I357" s="34"/>
      <c r="J357" s="39"/>
      <c r="K357" s="34"/>
      <c r="L357" s="34"/>
      <c r="M357" s="34"/>
      <c r="N357" s="34"/>
      <c r="O357" s="34"/>
      <c r="P357" s="39"/>
      <c r="R357" s="40"/>
      <c r="S357" s="40"/>
      <c r="T357" s="40"/>
      <c r="U357" s="40"/>
    </row>
    <row r="358" spans="4:21" s="37" customFormat="1" ht="15.75" customHeight="1" x14ac:dyDescent="0.35">
      <c r="D358" s="40"/>
      <c r="E358" s="34"/>
      <c r="F358" s="34"/>
      <c r="G358" s="34"/>
      <c r="H358" s="34"/>
      <c r="I358" s="34"/>
      <c r="J358" s="39"/>
      <c r="K358" s="34"/>
      <c r="L358" s="34"/>
      <c r="M358" s="34"/>
      <c r="N358" s="34"/>
      <c r="O358" s="34"/>
      <c r="P358" s="39"/>
      <c r="R358" s="40"/>
      <c r="S358" s="40"/>
      <c r="T358" s="40"/>
      <c r="U358" s="40"/>
    </row>
    <row r="359" spans="4:21" s="37" customFormat="1" ht="15.75" customHeight="1" x14ac:dyDescent="0.35">
      <c r="D359" s="40"/>
      <c r="E359" s="34"/>
      <c r="F359" s="34"/>
      <c r="G359" s="34"/>
      <c r="H359" s="34"/>
      <c r="I359" s="34"/>
      <c r="J359" s="39"/>
      <c r="K359" s="34"/>
      <c r="L359" s="34"/>
      <c r="M359" s="34"/>
      <c r="N359" s="34"/>
      <c r="O359" s="34"/>
      <c r="P359" s="39"/>
      <c r="R359" s="40"/>
      <c r="S359" s="40"/>
      <c r="T359" s="40"/>
      <c r="U359" s="40"/>
    </row>
    <row r="360" spans="4:21" s="37" customFormat="1" ht="15.75" customHeight="1" x14ac:dyDescent="0.35">
      <c r="D360" s="40"/>
      <c r="E360" s="34"/>
      <c r="F360" s="34"/>
      <c r="G360" s="34"/>
      <c r="H360" s="34"/>
      <c r="I360" s="34"/>
      <c r="J360" s="39"/>
      <c r="K360" s="34"/>
      <c r="L360" s="34"/>
      <c r="M360" s="34"/>
      <c r="N360" s="34"/>
      <c r="O360" s="34"/>
      <c r="P360" s="39"/>
      <c r="R360" s="40"/>
      <c r="S360" s="40"/>
      <c r="T360" s="40"/>
      <c r="U360" s="40"/>
    </row>
    <row r="361" spans="4:21" s="37" customFormat="1" ht="15.75" customHeight="1" x14ac:dyDescent="0.35">
      <c r="D361" s="40"/>
      <c r="E361" s="34"/>
      <c r="F361" s="34"/>
      <c r="G361" s="34"/>
      <c r="H361" s="34"/>
      <c r="I361" s="34"/>
      <c r="J361" s="39"/>
      <c r="K361" s="34"/>
      <c r="L361" s="34"/>
      <c r="M361" s="34"/>
      <c r="N361" s="34"/>
      <c r="O361" s="34"/>
      <c r="P361" s="39"/>
      <c r="R361" s="40"/>
      <c r="S361" s="40"/>
      <c r="T361" s="40"/>
      <c r="U361" s="40"/>
    </row>
    <row r="362" spans="4:21" s="37" customFormat="1" ht="15.75" customHeight="1" x14ac:dyDescent="0.35">
      <c r="D362" s="40"/>
      <c r="E362" s="34"/>
      <c r="F362" s="34"/>
      <c r="G362" s="34"/>
      <c r="H362" s="34"/>
      <c r="I362" s="34"/>
      <c r="J362" s="39"/>
      <c r="K362" s="34"/>
      <c r="L362" s="34"/>
      <c r="M362" s="34"/>
      <c r="N362" s="34"/>
      <c r="O362" s="34"/>
      <c r="P362" s="39"/>
      <c r="R362" s="40"/>
      <c r="S362" s="40"/>
      <c r="T362" s="40"/>
      <c r="U362" s="40"/>
    </row>
    <row r="363" spans="4:21" s="37" customFormat="1" ht="15.75" customHeight="1" x14ac:dyDescent="0.35">
      <c r="D363" s="40"/>
      <c r="E363" s="34"/>
      <c r="F363" s="34"/>
      <c r="G363" s="34"/>
      <c r="H363" s="34"/>
      <c r="I363" s="34"/>
      <c r="J363" s="39"/>
      <c r="K363" s="34"/>
      <c r="L363" s="34"/>
      <c r="M363" s="34"/>
      <c r="N363" s="34"/>
      <c r="O363" s="34"/>
      <c r="P363" s="39"/>
      <c r="R363" s="40"/>
      <c r="S363" s="40"/>
      <c r="T363" s="40"/>
      <c r="U363" s="40"/>
    </row>
    <row r="364" spans="4:21" s="37" customFormat="1" ht="15.75" customHeight="1" x14ac:dyDescent="0.35">
      <c r="D364" s="40"/>
      <c r="E364" s="34"/>
      <c r="F364" s="34"/>
      <c r="G364" s="34"/>
      <c r="H364" s="34"/>
      <c r="I364" s="34"/>
      <c r="J364" s="39"/>
      <c r="K364" s="34"/>
      <c r="L364" s="34"/>
      <c r="M364" s="34"/>
      <c r="N364" s="34"/>
      <c r="O364" s="34"/>
      <c r="P364" s="39"/>
      <c r="R364" s="40"/>
      <c r="S364" s="40"/>
      <c r="T364" s="40"/>
      <c r="U364" s="40"/>
    </row>
    <row r="365" spans="4:21" s="37" customFormat="1" ht="15.75" customHeight="1" x14ac:dyDescent="0.35">
      <c r="D365" s="40"/>
      <c r="E365" s="34"/>
      <c r="F365" s="34"/>
      <c r="G365" s="34"/>
      <c r="H365" s="34"/>
      <c r="I365" s="34"/>
      <c r="J365" s="39"/>
      <c r="K365" s="34"/>
      <c r="L365" s="34"/>
      <c r="M365" s="34"/>
      <c r="N365" s="34"/>
      <c r="O365" s="34"/>
      <c r="P365" s="39"/>
      <c r="R365" s="40"/>
      <c r="S365" s="40"/>
      <c r="T365" s="40"/>
      <c r="U365" s="40"/>
    </row>
    <row r="366" spans="4:21" s="37" customFormat="1" ht="15.75" customHeight="1" x14ac:dyDescent="0.35">
      <c r="D366" s="40"/>
      <c r="E366" s="34"/>
      <c r="F366" s="34"/>
      <c r="G366" s="34"/>
      <c r="H366" s="34"/>
      <c r="I366" s="34"/>
      <c r="J366" s="39"/>
      <c r="K366" s="34"/>
      <c r="L366" s="34"/>
      <c r="M366" s="34"/>
      <c r="N366" s="34"/>
      <c r="O366" s="34"/>
      <c r="P366" s="39"/>
      <c r="R366" s="40"/>
      <c r="S366" s="40"/>
      <c r="T366" s="40"/>
      <c r="U366" s="40"/>
    </row>
    <row r="367" spans="4:21" s="37" customFormat="1" ht="15.75" customHeight="1" x14ac:dyDescent="0.35">
      <c r="D367" s="40"/>
      <c r="E367" s="34"/>
      <c r="F367" s="34"/>
      <c r="G367" s="34"/>
      <c r="H367" s="34"/>
      <c r="I367" s="34"/>
      <c r="J367" s="39"/>
      <c r="K367" s="34"/>
      <c r="L367" s="34"/>
      <c r="M367" s="34"/>
      <c r="N367" s="34"/>
      <c r="O367" s="34"/>
      <c r="P367" s="39"/>
      <c r="R367" s="40"/>
      <c r="S367" s="40"/>
      <c r="T367" s="40"/>
      <c r="U367" s="40"/>
    </row>
    <row r="368" spans="4:21" s="37" customFormat="1" ht="15.75" customHeight="1" x14ac:dyDescent="0.35">
      <c r="D368" s="40"/>
      <c r="E368" s="34"/>
      <c r="F368" s="34"/>
      <c r="G368" s="34"/>
      <c r="H368" s="34"/>
      <c r="I368" s="34"/>
      <c r="J368" s="39"/>
      <c r="K368" s="34"/>
      <c r="L368" s="34"/>
      <c r="M368" s="34"/>
      <c r="N368" s="34"/>
      <c r="O368" s="34"/>
      <c r="P368" s="39"/>
      <c r="R368" s="40"/>
      <c r="S368" s="40"/>
      <c r="T368" s="40"/>
      <c r="U368" s="40"/>
    </row>
    <row r="369" spans="4:21" s="37" customFormat="1" ht="15.75" customHeight="1" x14ac:dyDescent="0.35">
      <c r="D369" s="40"/>
      <c r="E369" s="34"/>
      <c r="F369" s="34"/>
      <c r="G369" s="34"/>
      <c r="H369" s="34"/>
      <c r="I369" s="34"/>
      <c r="J369" s="39"/>
      <c r="K369" s="34"/>
      <c r="L369" s="34"/>
      <c r="M369" s="34"/>
      <c r="N369" s="34"/>
      <c r="O369" s="34"/>
      <c r="P369" s="39"/>
      <c r="R369" s="40"/>
      <c r="S369" s="40"/>
      <c r="T369" s="40"/>
      <c r="U369" s="40"/>
    </row>
    <row r="370" spans="4:21" s="37" customFormat="1" ht="15.75" customHeight="1" x14ac:dyDescent="0.35">
      <c r="D370" s="40"/>
      <c r="E370" s="34"/>
      <c r="F370" s="34"/>
      <c r="G370" s="34"/>
      <c r="H370" s="34"/>
      <c r="I370" s="34"/>
      <c r="J370" s="39"/>
      <c r="K370" s="34"/>
      <c r="L370" s="34"/>
      <c r="M370" s="34"/>
      <c r="N370" s="34"/>
      <c r="O370" s="34"/>
      <c r="P370" s="39"/>
      <c r="R370" s="40"/>
      <c r="S370" s="40"/>
      <c r="T370" s="40"/>
      <c r="U370" s="40"/>
    </row>
    <row r="371" spans="4:21" s="37" customFormat="1" ht="15.75" customHeight="1" x14ac:dyDescent="0.35">
      <c r="D371" s="40"/>
      <c r="E371" s="34"/>
      <c r="F371" s="34"/>
      <c r="G371" s="34"/>
      <c r="H371" s="34"/>
      <c r="I371" s="34"/>
      <c r="J371" s="39"/>
      <c r="K371" s="34"/>
      <c r="L371" s="34"/>
      <c r="M371" s="34"/>
      <c r="N371" s="34"/>
      <c r="O371" s="34"/>
      <c r="P371" s="39"/>
      <c r="R371" s="40"/>
      <c r="S371" s="40"/>
      <c r="T371" s="40"/>
      <c r="U371" s="40"/>
    </row>
    <row r="372" spans="4:21" s="37" customFormat="1" ht="15.75" customHeight="1" x14ac:dyDescent="0.35">
      <c r="D372" s="40"/>
      <c r="E372" s="34"/>
      <c r="F372" s="34"/>
      <c r="G372" s="34"/>
      <c r="H372" s="34"/>
      <c r="I372" s="34"/>
      <c r="J372" s="39"/>
      <c r="K372" s="34"/>
      <c r="L372" s="34"/>
      <c r="M372" s="34"/>
      <c r="N372" s="34"/>
      <c r="O372" s="34"/>
      <c r="P372" s="39"/>
      <c r="R372" s="40"/>
      <c r="S372" s="40"/>
      <c r="T372" s="40"/>
      <c r="U372" s="40"/>
    </row>
    <row r="373" spans="4:21" s="37" customFormat="1" ht="15.75" customHeight="1" x14ac:dyDescent="0.35">
      <c r="D373" s="40"/>
      <c r="E373" s="34"/>
      <c r="F373" s="34"/>
      <c r="G373" s="34"/>
      <c r="H373" s="34"/>
      <c r="I373" s="34"/>
      <c r="J373" s="39"/>
      <c r="K373" s="34"/>
      <c r="L373" s="34"/>
      <c r="M373" s="34"/>
      <c r="N373" s="34"/>
      <c r="O373" s="34"/>
      <c r="P373" s="39"/>
      <c r="R373" s="40"/>
      <c r="S373" s="40"/>
      <c r="T373" s="40"/>
      <c r="U373" s="40"/>
    </row>
    <row r="374" spans="4:21" s="37" customFormat="1" ht="15.75" customHeight="1" x14ac:dyDescent="0.35">
      <c r="D374" s="40"/>
      <c r="E374" s="34"/>
      <c r="F374" s="34"/>
      <c r="G374" s="34"/>
      <c r="H374" s="34"/>
      <c r="I374" s="34"/>
      <c r="J374" s="39"/>
      <c r="K374" s="34"/>
      <c r="L374" s="34"/>
      <c r="M374" s="34"/>
      <c r="N374" s="34"/>
      <c r="O374" s="34"/>
      <c r="P374" s="39"/>
      <c r="R374" s="40"/>
      <c r="S374" s="40"/>
      <c r="T374" s="40"/>
      <c r="U374" s="40"/>
    </row>
    <row r="375" spans="4:21" s="37" customFormat="1" ht="15.75" customHeight="1" x14ac:dyDescent="0.35">
      <c r="D375" s="40"/>
      <c r="E375" s="34"/>
      <c r="F375" s="34"/>
      <c r="G375" s="34"/>
      <c r="H375" s="34"/>
      <c r="I375" s="34"/>
      <c r="J375" s="39"/>
      <c r="K375" s="34"/>
      <c r="L375" s="34"/>
      <c r="M375" s="34"/>
      <c r="N375" s="34"/>
      <c r="O375" s="34"/>
      <c r="P375" s="39"/>
      <c r="R375" s="40"/>
      <c r="S375" s="40"/>
      <c r="T375" s="40"/>
      <c r="U375" s="40"/>
    </row>
    <row r="376" spans="4:21" s="37" customFormat="1" ht="15.75" customHeight="1" x14ac:dyDescent="0.35">
      <c r="D376" s="40"/>
      <c r="E376" s="34"/>
      <c r="F376" s="34"/>
      <c r="G376" s="34"/>
      <c r="H376" s="34"/>
      <c r="I376" s="34"/>
      <c r="J376" s="39"/>
      <c r="K376" s="34"/>
      <c r="L376" s="34"/>
      <c r="M376" s="34"/>
      <c r="N376" s="34"/>
      <c r="O376" s="34"/>
      <c r="P376" s="39"/>
      <c r="R376" s="40"/>
      <c r="S376" s="40"/>
      <c r="T376" s="40"/>
      <c r="U376" s="40"/>
    </row>
    <row r="377" spans="4:21" s="37" customFormat="1" ht="15.75" customHeight="1" x14ac:dyDescent="0.35">
      <c r="D377" s="40"/>
      <c r="E377" s="34"/>
      <c r="F377" s="34"/>
      <c r="G377" s="34"/>
      <c r="H377" s="34"/>
      <c r="I377" s="34"/>
      <c r="J377" s="39"/>
      <c r="K377" s="34"/>
      <c r="L377" s="34"/>
      <c r="M377" s="34"/>
      <c r="N377" s="34"/>
      <c r="O377" s="34"/>
      <c r="P377" s="39"/>
      <c r="R377" s="40"/>
      <c r="S377" s="40"/>
      <c r="T377" s="40"/>
      <c r="U377" s="40"/>
    </row>
    <row r="378" spans="4:21" s="37" customFormat="1" ht="15.75" customHeight="1" x14ac:dyDescent="0.35">
      <c r="D378" s="40"/>
      <c r="E378" s="34"/>
      <c r="F378" s="34"/>
      <c r="G378" s="34"/>
      <c r="H378" s="34"/>
      <c r="I378" s="34"/>
      <c r="J378" s="39"/>
      <c r="K378" s="34"/>
      <c r="L378" s="34"/>
      <c r="M378" s="34"/>
      <c r="N378" s="34"/>
      <c r="O378" s="34"/>
      <c r="P378" s="39"/>
      <c r="R378" s="40"/>
      <c r="S378" s="40"/>
      <c r="T378" s="40"/>
      <c r="U378" s="40"/>
    </row>
    <row r="379" spans="4:21" s="37" customFormat="1" ht="15.75" customHeight="1" x14ac:dyDescent="0.35">
      <c r="D379" s="40"/>
      <c r="E379" s="34"/>
      <c r="F379" s="34"/>
      <c r="G379" s="34"/>
      <c r="H379" s="34"/>
      <c r="I379" s="34"/>
      <c r="J379" s="39"/>
      <c r="K379" s="34"/>
      <c r="L379" s="34"/>
      <c r="M379" s="34"/>
      <c r="N379" s="34"/>
      <c r="O379" s="34"/>
      <c r="P379" s="39"/>
      <c r="R379" s="40"/>
      <c r="S379" s="40"/>
      <c r="T379" s="40"/>
      <c r="U379" s="40"/>
    </row>
    <row r="380" spans="4:21" s="37" customFormat="1" ht="15.75" customHeight="1" x14ac:dyDescent="0.35">
      <c r="D380" s="40"/>
      <c r="E380" s="34"/>
      <c r="F380" s="34"/>
      <c r="G380" s="34"/>
      <c r="H380" s="34"/>
      <c r="I380" s="34"/>
      <c r="J380" s="39"/>
      <c r="K380" s="34"/>
      <c r="L380" s="34"/>
      <c r="M380" s="34"/>
      <c r="N380" s="34"/>
      <c r="O380" s="34"/>
      <c r="P380" s="39"/>
      <c r="R380" s="40"/>
      <c r="S380" s="40"/>
      <c r="T380" s="40"/>
      <c r="U380" s="40"/>
    </row>
    <row r="381" spans="4:21" s="37" customFormat="1" ht="15.75" customHeight="1" x14ac:dyDescent="0.35">
      <c r="D381" s="40"/>
      <c r="E381" s="34"/>
      <c r="F381" s="34"/>
      <c r="G381" s="34"/>
      <c r="H381" s="34"/>
      <c r="I381" s="34"/>
      <c r="J381" s="39"/>
      <c r="K381" s="34"/>
      <c r="L381" s="34"/>
      <c r="M381" s="34"/>
      <c r="N381" s="34"/>
      <c r="O381" s="34"/>
      <c r="P381" s="39"/>
      <c r="R381" s="40"/>
      <c r="S381" s="40"/>
      <c r="T381" s="40"/>
      <c r="U381" s="40"/>
    </row>
    <row r="382" spans="4:21" s="37" customFormat="1" ht="15.75" customHeight="1" x14ac:dyDescent="0.35">
      <c r="D382" s="40"/>
      <c r="E382" s="34"/>
      <c r="F382" s="34"/>
      <c r="G382" s="34"/>
      <c r="H382" s="34"/>
      <c r="I382" s="34"/>
      <c r="J382" s="39"/>
      <c r="K382" s="34"/>
      <c r="L382" s="34"/>
      <c r="M382" s="34"/>
      <c r="N382" s="34"/>
      <c r="O382" s="34"/>
      <c r="P382" s="39"/>
      <c r="R382" s="40"/>
      <c r="S382" s="40"/>
      <c r="T382" s="40"/>
      <c r="U382" s="40"/>
    </row>
    <row r="383" spans="4:21" s="37" customFormat="1" ht="15.75" customHeight="1" x14ac:dyDescent="0.35">
      <c r="D383" s="40"/>
      <c r="E383" s="34"/>
      <c r="F383" s="34"/>
      <c r="G383" s="34"/>
      <c r="H383" s="34"/>
      <c r="I383" s="34"/>
      <c r="J383" s="39"/>
      <c r="K383" s="34"/>
      <c r="L383" s="34"/>
      <c r="M383" s="34"/>
      <c r="N383" s="34"/>
      <c r="O383" s="34"/>
      <c r="P383" s="39"/>
      <c r="R383" s="40"/>
      <c r="S383" s="40"/>
      <c r="T383" s="40"/>
      <c r="U383" s="40"/>
    </row>
    <row r="384" spans="4:21" s="37" customFormat="1" ht="15.75" customHeight="1" x14ac:dyDescent="0.35">
      <c r="D384" s="40"/>
      <c r="E384" s="34"/>
      <c r="F384" s="34"/>
      <c r="G384" s="34"/>
      <c r="H384" s="34"/>
      <c r="I384" s="34"/>
      <c r="J384" s="39"/>
      <c r="K384" s="34"/>
      <c r="L384" s="34"/>
      <c r="M384" s="34"/>
      <c r="N384" s="34"/>
      <c r="O384" s="34"/>
      <c r="P384" s="39"/>
      <c r="R384" s="40"/>
      <c r="S384" s="40"/>
      <c r="T384" s="40"/>
      <c r="U384" s="40"/>
    </row>
    <row r="385" spans="4:21" s="37" customFormat="1" ht="15.75" customHeight="1" x14ac:dyDescent="0.35">
      <c r="D385" s="40"/>
      <c r="E385" s="34"/>
      <c r="F385" s="34"/>
      <c r="G385" s="34"/>
      <c r="H385" s="34"/>
      <c r="I385" s="34"/>
      <c r="J385" s="39"/>
      <c r="K385" s="34"/>
      <c r="L385" s="34"/>
      <c r="M385" s="34"/>
      <c r="N385" s="34"/>
      <c r="O385" s="34"/>
      <c r="P385" s="39"/>
      <c r="R385" s="40"/>
      <c r="S385" s="40"/>
      <c r="T385" s="40"/>
      <c r="U385" s="40"/>
    </row>
    <row r="386" spans="4:21" s="37" customFormat="1" ht="15.75" customHeight="1" x14ac:dyDescent="0.35">
      <c r="D386" s="40"/>
      <c r="E386" s="34"/>
      <c r="F386" s="34"/>
      <c r="G386" s="34"/>
      <c r="H386" s="34"/>
      <c r="I386" s="34"/>
      <c r="J386" s="39"/>
      <c r="K386" s="34"/>
      <c r="L386" s="34"/>
      <c r="M386" s="34"/>
      <c r="N386" s="34"/>
      <c r="O386" s="34"/>
      <c r="P386" s="39"/>
      <c r="R386" s="40"/>
      <c r="S386" s="40"/>
      <c r="T386" s="40"/>
      <c r="U386" s="40"/>
    </row>
    <row r="387" spans="4:21" s="37" customFormat="1" ht="15.75" customHeight="1" x14ac:dyDescent="0.35">
      <c r="D387" s="40"/>
      <c r="E387" s="34"/>
      <c r="F387" s="34"/>
      <c r="G387" s="34"/>
      <c r="H387" s="34"/>
      <c r="I387" s="34"/>
      <c r="J387" s="39"/>
      <c r="K387" s="34"/>
      <c r="L387" s="34"/>
      <c r="M387" s="34"/>
      <c r="N387" s="34"/>
      <c r="O387" s="34"/>
      <c r="P387" s="39"/>
      <c r="R387" s="40"/>
      <c r="S387" s="40"/>
      <c r="T387" s="40"/>
      <c r="U387" s="40"/>
    </row>
    <row r="388" spans="4:21" s="37" customFormat="1" ht="15.75" customHeight="1" x14ac:dyDescent="0.35">
      <c r="D388" s="40"/>
      <c r="E388" s="34"/>
      <c r="F388" s="34"/>
      <c r="G388" s="34"/>
      <c r="H388" s="34"/>
      <c r="I388" s="34"/>
      <c r="J388" s="39"/>
      <c r="K388" s="34"/>
      <c r="L388" s="34"/>
      <c r="M388" s="34"/>
      <c r="N388" s="34"/>
      <c r="O388" s="34"/>
      <c r="P388" s="39"/>
      <c r="R388" s="40"/>
      <c r="S388" s="40"/>
      <c r="T388" s="40"/>
      <c r="U388" s="40"/>
    </row>
    <row r="389" spans="4:21" s="37" customFormat="1" ht="15.75" customHeight="1" x14ac:dyDescent="0.35">
      <c r="D389" s="40"/>
      <c r="E389" s="34"/>
      <c r="F389" s="34"/>
      <c r="G389" s="34"/>
      <c r="H389" s="34"/>
      <c r="I389" s="34"/>
      <c r="J389" s="39"/>
      <c r="K389" s="34"/>
      <c r="L389" s="34"/>
      <c r="M389" s="34"/>
      <c r="N389" s="34"/>
      <c r="O389" s="34"/>
      <c r="P389" s="39"/>
      <c r="R389" s="40"/>
      <c r="S389" s="40"/>
      <c r="T389" s="40"/>
      <c r="U389" s="40"/>
    </row>
    <row r="390" spans="4:21" s="37" customFormat="1" ht="15.75" customHeight="1" x14ac:dyDescent="0.35">
      <c r="D390" s="40"/>
      <c r="E390" s="34"/>
      <c r="F390" s="34"/>
      <c r="G390" s="34"/>
      <c r="H390" s="34"/>
      <c r="I390" s="34"/>
      <c r="J390" s="39"/>
      <c r="K390" s="34"/>
      <c r="L390" s="34"/>
      <c r="M390" s="34"/>
      <c r="N390" s="34"/>
      <c r="O390" s="34"/>
      <c r="P390" s="39"/>
      <c r="R390" s="40"/>
      <c r="S390" s="40"/>
      <c r="T390" s="40"/>
      <c r="U390" s="40"/>
    </row>
    <row r="391" spans="4:21" s="37" customFormat="1" ht="15.75" customHeight="1" x14ac:dyDescent="0.35">
      <c r="D391" s="40"/>
      <c r="E391" s="34"/>
      <c r="F391" s="34"/>
      <c r="G391" s="34"/>
      <c r="H391" s="34"/>
      <c r="I391" s="34"/>
      <c r="J391" s="39"/>
      <c r="K391" s="34"/>
      <c r="L391" s="34"/>
      <c r="M391" s="34"/>
      <c r="N391" s="34"/>
      <c r="O391" s="34"/>
      <c r="P391" s="39"/>
      <c r="R391" s="40"/>
      <c r="S391" s="40"/>
      <c r="T391" s="40"/>
      <c r="U391" s="40"/>
    </row>
    <row r="392" spans="4:21" s="37" customFormat="1" ht="15.75" customHeight="1" x14ac:dyDescent="0.35">
      <c r="D392" s="40"/>
      <c r="E392" s="34"/>
      <c r="F392" s="34"/>
      <c r="G392" s="34"/>
      <c r="H392" s="34"/>
      <c r="I392" s="34"/>
      <c r="J392" s="39"/>
      <c r="K392" s="34"/>
      <c r="L392" s="34"/>
      <c r="M392" s="34"/>
      <c r="N392" s="34"/>
      <c r="O392" s="34"/>
      <c r="P392" s="39"/>
      <c r="R392" s="40"/>
      <c r="S392" s="40"/>
      <c r="T392" s="40"/>
      <c r="U392" s="40"/>
    </row>
    <row r="393" spans="4:21" s="37" customFormat="1" ht="15.75" customHeight="1" x14ac:dyDescent="0.35">
      <c r="D393" s="40"/>
      <c r="E393" s="34"/>
      <c r="F393" s="34"/>
      <c r="G393" s="34"/>
      <c r="H393" s="34"/>
      <c r="I393" s="34"/>
      <c r="J393" s="39"/>
      <c r="K393" s="34"/>
      <c r="L393" s="34"/>
      <c r="M393" s="34"/>
      <c r="N393" s="34"/>
      <c r="O393" s="34"/>
      <c r="P393" s="39"/>
      <c r="R393" s="40"/>
      <c r="S393" s="40"/>
      <c r="T393" s="40"/>
      <c r="U393" s="40"/>
    </row>
    <row r="394" spans="4:21" s="37" customFormat="1" ht="15.75" customHeight="1" x14ac:dyDescent="0.35">
      <c r="D394" s="40"/>
      <c r="E394" s="34"/>
      <c r="F394" s="34"/>
      <c r="G394" s="34"/>
      <c r="H394" s="34"/>
      <c r="I394" s="34"/>
      <c r="J394" s="39"/>
      <c r="K394" s="34"/>
      <c r="L394" s="34"/>
      <c r="M394" s="34"/>
      <c r="N394" s="34"/>
      <c r="O394" s="34"/>
      <c r="P394" s="39"/>
      <c r="R394" s="40"/>
      <c r="S394" s="40"/>
      <c r="T394" s="40"/>
      <c r="U394" s="40"/>
    </row>
    <row r="395" spans="4:21" s="37" customFormat="1" ht="15.75" customHeight="1" x14ac:dyDescent="0.35">
      <c r="D395" s="40"/>
      <c r="E395" s="34"/>
      <c r="F395" s="34"/>
      <c r="G395" s="34"/>
      <c r="H395" s="34"/>
      <c r="I395" s="34"/>
      <c r="J395" s="39"/>
      <c r="K395" s="34"/>
      <c r="L395" s="34"/>
      <c r="M395" s="34"/>
      <c r="N395" s="34"/>
      <c r="O395" s="34"/>
      <c r="P395" s="39"/>
      <c r="R395" s="40"/>
      <c r="S395" s="40"/>
      <c r="T395" s="40"/>
      <c r="U395" s="40"/>
    </row>
    <row r="396" spans="4:21" s="37" customFormat="1" ht="15.75" customHeight="1" x14ac:dyDescent="0.35">
      <c r="D396" s="40"/>
      <c r="E396" s="34"/>
      <c r="F396" s="34"/>
      <c r="G396" s="34"/>
      <c r="H396" s="34"/>
      <c r="I396" s="34"/>
      <c r="J396" s="39"/>
      <c r="K396" s="34"/>
      <c r="L396" s="34"/>
      <c r="M396" s="34"/>
      <c r="N396" s="34"/>
      <c r="O396" s="34"/>
      <c r="P396" s="39"/>
      <c r="R396" s="40"/>
      <c r="S396" s="40"/>
      <c r="T396" s="40"/>
      <c r="U396" s="40"/>
    </row>
    <row r="397" spans="4:21" s="37" customFormat="1" ht="15.75" customHeight="1" x14ac:dyDescent="0.35">
      <c r="D397" s="40"/>
      <c r="E397" s="34"/>
      <c r="F397" s="34"/>
      <c r="G397" s="34"/>
      <c r="H397" s="34"/>
      <c r="I397" s="34"/>
      <c r="J397" s="39"/>
      <c r="K397" s="34"/>
      <c r="L397" s="34"/>
      <c r="M397" s="34"/>
      <c r="N397" s="34"/>
      <c r="O397" s="34"/>
      <c r="P397" s="39"/>
      <c r="R397" s="40"/>
      <c r="S397" s="40"/>
      <c r="T397" s="40"/>
      <c r="U397" s="40"/>
    </row>
    <row r="398" spans="4:21" s="37" customFormat="1" ht="15.75" customHeight="1" x14ac:dyDescent="0.35">
      <c r="D398" s="40"/>
      <c r="E398" s="34"/>
      <c r="F398" s="34"/>
      <c r="G398" s="34"/>
      <c r="H398" s="34"/>
      <c r="I398" s="34"/>
      <c r="J398" s="39"/>
      <c r="K398" s="34"/>
      <c r="L398" s="34"/>
      <c r="M398" s="34"/>
      <c r="N398" s="34"/>
      <c r="O398" s="34"/>
      <c r="P398" s="39"/>
      <c r="R398" s="40"/>
      <c r="S398" s="40"/>
      <c r="T398" s="40"/>
      <c r="U398" s="40"/>
    </row>
    <row r="399" spans="4:21" s="37" customFormat="1" ht="15.75" customHeight="1" x14ac:dyDescent="0.35">
      <c r="D399" s="40"/>
      <c r="E399" s="34"/>
      <c r="F399" s="34"/>
      <c r="G399" s="34"/>
      <c r="H399" s="34"/>
      <c r="I399" s="34"/>
      <c r="J399" s="39"/>
      <c r="K399" s="34"/>
      <c r="L399" s="34"/>
      <c r="M399" s="34"/>
      <c r="N399" s="34"/>
      <c r="O399" s="34"/>
      <c r="P399" s="39"/>
      <c r="R399" s="40"/>
      <c r="S399" s="40"/>
      <c r="T399" s="40"/>
      <c r="U399" s="40"/>
    </row>
    <row r="400" spans="4:21" s="37" customFormat="1" ht="15.75" customHeight="1" x14ac:dyDescent="0.35">
      <c r="D400" s="40"/>
      <c r="E400" s="34"/>
      <c r="F400" s="34"/>
      <c r="G400" s="34"/>
      <c r="H400" s="34"/>
      <c r="I400" s="34"/>
      <c r="J400" s="39"/>
      <c r="K400" s="34"/>
      <c r="L400" s="34"/>
      <c r="M400" s="34"/>
      <c r="N400" s="34"/>
      <c r="O400" s="34"/>
      <c r="P400" s="39"/>
      <c r="R400" s="40"/>
      <c r="S400" s="40"/>
      <c r="T400" s="40"/>
      <c r="U400" s="40"/>
    </row>
    <row r="401" spans="4:21" s="37" customFormat="1" ht="15.75" customHeight="1" x14ac:dyDescent="0.35">
      <c r="D401" s="40"/>
      <c r="E401" s="34"/>
      <c r="F401" s="34"/>
      <c r="G401" s="34"/>
      <c r="H401" s="34"/>
      <c r="I401" s="34"/>
      <c r="J401" s="39"/>
      <c r="K401" s="34"/>
      <c r="L401" s="34"/>
      <c r="M401" s="34"/>
      <c r="N401" s="34"/>
      <c r="O401" s="34"/>
      <c r="P401" s="39"/>
      <c r="R401" s="40"/>
      <c r="S401" s="40"/>
      <c r="T401" s="40"/>
      <c r="U401" s="40"/>
    </row>
    <row r="402" spans="4:21" s="37" customFormat="1" ht="15.75" customHeight="1" x14ac:dyDescent="0.35">
      <c r="D402" s="40"/>
      <c r="E402" s="34"/>
      <c r="F402" s="34"/>
      <c r="G402" s="34"/>
      <c r="H402" s="34"/>
      <c r="I402" s="34"/>
      <c r="J402" s="39"/>
      <c r="K402" s="34"/>
      <c r="L402" s="34"/>
      <c r="M402" s="34"/>
      <c r="N402" s="34"/>
      <c r="O402" s="34"/>
      <c r="P402" s="39"/>
      <c r="R402" s="40"/>
      <c r="S402" s="40"/>
      <c r="T402" s="40"/>
      <c r="U402" s="40"/>
    </row>
    <row r="403" spans="4:21" s="37" customFormat="1" ht="15.75" customHeight="1" x14ac:dyDescent="0.35">
      <c r="D403" s="40"/>
      <c r="E403" s="34"/>
      <c r="F403" s="34"/>
      <c r="G403" s="34"/>
      <c r="H403" s="34"/>
      <c r="I403" s="34"/>
      <c r="J403" s="39"/>
      <c r="K403" s="34"/>
      <c r="L403" s="34"/>
      <c r="M403" s="34"/>
      <c r="N403" s="34"/>
      <c r="O403" s="34"/>
      <c r="P403" s="39"/>
      <c r="R403" s="40"/>
      <c r="S403" s="40"/>
      <c r="T403" s="40"/>
      <c r="U403" s="40"/>
    </row>
    <row r="404" spans="4:21" s="37" customFormat="1" ht="15.75" customHeight="1" x14ac:dyDescent="0.35">
      <c r="D404" s="40"/>
      <c r="E404" s="34"/>
      <c r="F404" s="34"/>
      <c r="G404" s="34"/>
      <c r="H404" s="34"/>
      <c r="I404" s="34"/>
      <c r="J404" s="39"/>
      <c r="K404" s="34"/>
      <c r="L404" s="34"/>
      <c r="M404" s="34"/>
      <c r="N404" s="34"/>
      <c r="O404" s="34"/>
      <c r="P404" s="39"/>
      <c r="R404" s="40"/>
      <c r="S404" s="40"/>
      <c r="T404" s="40"/>
      <c r="U404" s="40"/>
    </row>
    <row r="405" spans="4:21" s="37" customFormat="1" ht="15.75" customHeight="1" x14ac:dyDescent="0.35">
      <c r="D405" s="40"/>
      <c r="E405" s="34"/>
      <c r="F405" s="34"/>
      <c r="G405" s="34"/>
      <c r="H405" s="34"/>
      <c r="I405" s="34"/>
      <c r="J405" s="39"/>
      <c r="K405" s="34"/>
      <c r="L405" s="34"/>
      <c r="M405" s="34"/>
      <c r="N405" s="34"/>
      <c r="O405" s="34"/>
      <c r="P405" s="39"/>
      <c r="R405" s="40"/>
      <c r="S405" s="40"/>
      <c r="T405" s="40"/>
      <c r="U405" s="40"/>
    </row>
    <row r="406" spans="4:21" s="37" customFormat="1" ht="15.75" customHeight="1" x14ac:dyDescent="0.35">
      <c r="D406" s="40"/>
      <c r="E406" s="34"/>
      <c r="F406" s="34"/>
      <c r="G406" s="34"/>
      <c r="H406" s="34"/>
      <c r="I406" s="34"/>
      <c r="J406" s="39"/>
      <c r="K406" s="34"/>
      <c r="L406" s="34"/>
      <c r="M406" s="34"/>
      <c r="N406" s="34"/>
      <c r="O406" s="34"/>
      <c r="P406" s="39"/>
      <c r="R406" s="40"/>
      <c r="S406" s="40"/>
      <c r="T406" s="40"/>
      <c r="U406" s="40"/>
    </row>
    <row r="407" spans="4:21" s="37" customFormat="1" ht="15.75" customHeight="1" x14ac:dyDescent="0.35">
      <c r="D407" s="40"/>
      <c r="E407" s="34"/>
      <c r="F407" s="34"/>
      <c r="G407" s="34"/>
      <c r="H407" s="34"/>
      <c r="I407" s="34"/>
      <c r="J407" s="39"/>
      <c r="K407" s="34"/>
      <c r="L407" s="34"/>
      <c r="M407" s="34"/>
      <c r="N407" s="34"/>
      <c r="O407" s="34"/>
      <c r="P407" s="39"/>
      <c r="R407" s="40"/>
      <c r="S407" s="40"/>
      <c r="T407" s="40"/>
      <c r="U407" s="40"/>
    </row>
    <row r="408" spans="4:21" s="37" customFormat="1" ht="15.75" customHeight="1" x14ac:dyDescent="0.35">
      <c r="D408" s="40"/>
      <c r="E408" s="34"/>
      <c r="F408" s="34"/>
      <c r="G408" s="34"/>
      <c r="H408" s="34"/>
      <c r="I408" s="34"/>
      <c r="J408" s="39"/>
      <c r="K408" s="34"/>
      <c r="L408" s="34"/>
      <c r="M408" s="34"/>
      <c r="N408" s="34"/>
      <c r="O408" s="34"/>
      <c r="P408" s="39"/>
      <c r="R408" s="40"/>
      <c r="S408" s="40"/>
      <c r="T408" s="40"/>
      <c r="U408" s="40"/>
    </row>
    <row r="409" spans="4:21" s="37" customFormat="1" ht="15.75" customHeight="1" x14ac:dyDescent="0.35">
      <c r="D409" s="40"/>
      <c r="E409" s="34"/>
      <c r="F409" s="34"/>
      <c r="G409" s="34"/>
      <c r="H409" s="34"/>
      <c r="I409" s="34"/>
      <c r="J409" s="39"/>
      <c r="K409" s="34"/>
      <c r="L409" s="34"/>
      <c r="M409" s="34"/>
      <c r="N409" s="34"/>
      <c r="O409" s="34"/>
      <c r="P409" s="39"/>
      <c r="R409" s="40"/>
      <c r="S409" s="40"/>
      <c r="T409" s="40"/>
      <c r="U409" s="40"/>
    </row>
    <row r="410" spans="4:21" s="37" customFormat="1" ht="15.75" customHeight="1" x14ac:dyDescent="0.35">
      <c r="D410" s="40"/>
      <c r="E410" s="34"/>
      <c r="F410" s="34"/>
      <c r="G410" s="34"/>
      <c r="H410" s="34"/>
      <c r="I410" s="34"/>
      <c r="J410" s="39"/>
      <c r="K410" s="34"/>
      <c r="L410" s="34"/>
      <c r="M410" s="34"/>
      <c r="N410" s="34"/>
      <c r="O410" s="34"/>
      <c r="P410" s="39"/>
      <c r="R410" s="40"/>
      <c r="S410" s="40"/>
      <c r="T410" s="40"/>
      <c r="U410" s="40"/>
    </row>
    <row r="411" spans="4:21" s="37" customFormat="1" ht="15.75" customHeight="1" x14ac:dyDescent="0.35">
      <c r="D411" s="40"/>
      <c r="E411" s="34"/>
      <c r="F411" s="34"/>
      <c r="G411" s="34"/>
      <c r="H411" s="34"/>
      <c r="I411" s="34"/>
      <c r="J411" s="39"/>
      <c r="K411" s="34"/>
      <c r="L411" s="34"/>
      <c r="M411" s="34"/>
      <c r="N411" s="34"/>
      <c r="O411" s="34"/>
      <c r="P411" s="39"/>
      <c r="R411" s="40"/>
      <c r="S411" s="40"/>
      <c r="T411" s="40"/>
      <c r="U411" s="40"/>
    </row>
    <row r="412" spans="4:21" s="37" customFormat="1" ht="15.75" customHeight="1" x14ac:dyDescent="0.35">
      <c r="D412" s="40"/>
      <c r="E412" s="34"/>
      <c r="F412" s="34"/>
      <c r="G412" s="34"/>
      <c r="H412" s="34"/>
      <c r="I412" s="34"/>
      <c r="J412" s="39"/>
      <c r="K412" s="34"/>
      <c r="L412" s="34"/>
      <c r="M412" s="34"/>
      <c r="N412" s="34"/>
      <c r="O412" s="34"/>
      <c r="P412" s="39"/>
      <c r="R412" s="40"/>
      <c r="S412" s="40"/>
      <c r="T412" s="40"/>
      <c r="U412" s="40"/>
    </row>
    <row r="413" spans="4:21" s="37" customFormat="1" ht="15.75" customHeight="1" x14ac:dyDescent="0.35">
      <c r="D413" s="40"/>
      <c r="E413" s="34"/>
      <c r="F413" s="34"/>
      <c r="G413" s="34"/>
      <c r="H413" s="34"/>
      <c r="I413" s="34"/>
      <c r="J413" s="39"/>
      <c r="K413" s="34"/>
      <c r="L413" s="34"/>
      <c r="M413" s="34"/>
      <c r="N413" s="34"/>
      <c r="O413" s="34"/>
      <c r="P413" s="39"/>
      <c r="R413" s="40"/>
      <c r="S413" s="40"/>
      <c r="T413" s="40"/>
      <c r="U413" s="40"/>
    </row>
    <row r="414" spans="4:21" s="37" customFormat="1" ht="15.75" customHeight="1" x14ac:dyDescent="0.35">
      <c r="D414" s="40"/>
      <c r="E414" s="34"/>
      <c r="F414" s="34"/>
      <c r="G414" s="34"/>
      <c r="H414" s="34"/>
      <c r="I414" s="34"/>
      <c r="J414" s="39"/>
      <c r="K414" s="34"/>
      <c r="L414" s="34"/>
      <c r="M414" s="34"/>
      <c r="N414" s="34"/>
      <c r="O414" s="34"/>
      <c r="P414" s="39"/>
      <c r="R414" s="40"/>
      <c r="S414" s="40"/>
      <c r="T414" s="40"/>
      <c r="U414" s="40"/>
    </row>
    <row r="415" spans="4:21" s="37" customFormat="1" ht="15.75" customHeight="1" x14ac:dyDescent="0.35">
      <c r="D415" s="40"/>
      <c r="E415" s="34"/>
      <c r="F415" s="34"/>
      <c r="G415" s="34"/>
      <c r="H415" s="34"/>
      <c r="I415" s="34"/>
      <c r="J415" s="39"/>
      <c r="K415" s="34"/>
      <c r="L415" s="34"/>
      <c r="M415" s="34"/>
      <c r="N415" s="34"/>
      <c r="O415" s="34"/>
      <c r="P415" s="39"/>
      <c r="R415" s="40"/>
      <c r="S415" s="40"/>
      <c r="T415" s="40"/>
      <c r="U415" s="40"/>
    </row>
    <row r="416" spans="4:21" s="37" customFormat="1" ht="15.75" customHeight="1" x14ac:dyDescent="0.35">
      <c r="D416" s="40"/>
      <c r="E416" s="34"/>
      <c r="F416" s="34"/>
      <c r="G416" s="34"/>
      <c r="H416" s="34"/>
      <c r="I416" s="34"/>
      <c r="J416" s="39"/>
      <c r="K416" s="34"/>
      <c r="L416" s="34"/>
      <c r="M416" s="34"/>
      <c r="N416" s="34"/>
      <c r="O416" s="34"/>
      <c r="P416" s="39"/>
      <c r="R416" s="40"/>
      <c r="S416" s="40"/>
      <c r="T416" s="40"/>
      <c r="U416" s="40"/>
    </row>
    <row r="417" spans="4:21" s="37" customFormat="1" ht="15.75" customHeight="1" x14ac:dyDescent="0.35">
      <c r="D417" s="40"/>
      <c r="E417" s="34"/>
      <c r="F417" s="34"/>
      <c r="G417" s="34"/>
      <c r="H417" s="34"/>
      <c r="I417" s="34"/>
      <c r="J417" s="39"/>
      <c r="K417" s="34"/>
      <c r="L417" s="34"/>
      <c r="M417" s="34"/>
      <c r="N417" s="34"/>
      <c r="O417" s="34"/>
      <c r="P417" s="39"/>
      <c r="R417" s="40"/>
      <c r="S417" s="40"/>
      <c r="T417" s="40"/>
      <c r="U417" s="40"/>
    </row>
    <row r="418" spans="4:21" s="37" customFormat="1" ht="15.75" customHeight="1" x14ac:dyDescent="0.35">
      <c r="D418" s="40"/>
      <c r="E418" s="34"/>
      <c r="F418" s="34"/>
      <c r="G418" s="34"/>
      <c r="H418" s="34"/>
      <c r="I418" s="34"/>
      <c r="J418" s="39"/>
      <c r="K418" s="34"/>
      <c r="L418" s="34"/>
      <c r="M418" s="34"/>
      <c r="N418" s="34"/>
      <c r="O418" s="34"/>
      <c r="P418" s="39"/>
      <c r="R418" s="40"/>
      <c r="S418" s="40"/>
      <c r="T418" s="40"/>
      <c r="U418" s="40"/>
    </row>
    <row r="419" spans="4:21" s="37" customFormat="1" ht="15.75" customHeight="1" x14ac:dyDescent="0.35">
      <c r="D419" s="40"/>
      <c r="E419" s="34"/>
      <c r="F419" s="34"/>
      <c r="G419" s="34"/>
      <c r="H419" s="34"/>
      <c r="I419" s="34"/>
      <c r="J419" s="39"/>
      <c r="K419" s="34"/>
      <c r="L419" s="34"/>
      <c r="M419" s="34"/>
      <c r="N419" s="34"/>
      <c r="O419" s="34"/>
      <c r="P419" s="39"/>
      <c r="R419" s="40"/>
      <c r="S419" s="40"/>
      <c r="T419" s="40"/>
      <c r="U419" s="40"/>
    </row>
    <row r="420" spans="4:21" s="37" customFormat="1" ht="15.75" customHeight="1" x14ac:dyDescent="0.35">
      <c r="D420" s="40"/>
      <c r="E420" s="34"/>
      <c r="F420" s="34"/>
      <c r="G420" s="34"/>
      <c r="H420" s="34"/>
      <c r="I420" s="34"/>
      <c r="J420" s="39"/>
      <c r="K420" s="34"/>
      <c r="L420" s="34"/>
      <c r="M420" s="34"/>
      <c r="N420" s="34"/>
      <c r="O420" s="34"/>
      <c r="P420" s="39"/>
      <c r="R420" s="40"/>
      <c r="S420" s="40"/>
      <c r="T420" s="40"/>
      <c r="U420" s="40"/>
    </row>
    <row r="421" spans="4:21" s="37" customFormat="1" ht="15.75" customHeight="1" x14ac:dyDescent="0.35">
      <c r="D421" s="40"/>
      <c r="E421" s="34"/>
      <c r="F421" s="34"/>
      <c r="G421" s="34"/>
      <c r="H421" s="34"/>
      <c r="I421" s="34"/>
      <c r="J421" s="39"/>
      <c r="K421" s="34"/>
      <c r="L421" s="34"/>
      <c r="M421" s="34"/>
      <c r="N421" s="34"/>
      <c r="O421" s="34"/>
      <c r="P421" s="39"/>
      <c r="R421" s="40"/>
      <c r="S421" s="40"/>
      <c r="T421" s="40"/>
      <c r="U421" s="40"/>
    </row>
    <row r="422" spans="4:21" s="37" customFormat="1" ht="15.75" customHeight="1" x14ac:dyDescent="0.35">
      <c r="D422" s="40"/>
      <c r="E422" s="34"/>
      <c r="F422" s="34"/>
      <c r="G422" s="34"/>
      <c r="H422" s="34"/>
      <c r="I422" s="34"/>
      <c r="J422" s="39"/>
      <c r="K422" s="34"/>
      <c r="L422" s="34"/>
      <c r="M422" s="34"/>
      <c r="N422" s="34"/>
      <c r="O422" s="34"/>
      <c r="P422" s="39"/>
      <c r="R422" s="40"/>
      <c r="S422" s="40"/>
      <c r="T422" s="40"/>
      <c r="U422" s="40"/>
    </row>
    <row r="423" spans="4:21" s="37" customFormat="1" ht="15.75" customHeight="1" x14ac:dyDescent="0.35">
      <c r="D423" s="40"/>
      <c r="E423" s="34"/>
      <c r="F423" s="34"/>
      <c r="G423" s="34"/>
      <c r="H423" s="34"/>
      <c r="I423" s="34"/>
      <c r="J423" s="39"/>
      <c r="K423" s="34"/>
      <c r="L423" s="34"/>
      <c r="M423" s="34"/>
      <c r="N423" s="34"/>
      <c r="O423" s="34"/>
      <c r="P423" s="39"/>
      <c r="R423" s="40"/>
      <c r="S423" s="40"/>
      <c r="T423" s="40"/>
      <c r="U423" s="40"/>
    </row>
    <row r="424" spans="4:21" s="37" customFormat="1" ht="15.75" customHeight="1" x14ac:dyDescent="0.35">
      <c r="D424" s="40"/>
      <c r="E424" s="34"/>
      <c r="F424" s="34"/>
      <c r="G424" s="34"/>
      <c r="H424" s="34"/>
      <c r="I424" s="34"/>
      <c r="J424" s="39"/>
      <c r="K424" s="34"/>
      <c r="L424" s="34"/>
      <c r="M424" s="34"/>
      <c r="N424" s="34"/>
      <c r="O424" s="34"/>
      <c r="P424" s="39"/>
      <c r="R424" s="40"/>
      <c r="S424" s="40"/>
      <c r="T424" s="40"/>
      <c r="U424" s="40"/>
    </row>
    <row r="425" spans="4:21" s="37" customFormat="1" ht="15.75" customHeight="1" x14ac:dyDescent="0.35">
      <c r="D425" s="40"/>
      <c r="E425" s="34"/>
      <c r="F425" s="34"/>
      <c r="G425" s="34"/>
      <c r="H425" s="34"/>
      <c r="I425" s="34"/>
      <c r="J425" s="39"/>
      <c r="K425" s="34"/>
      <c r="L425" s="34"/>
      <c r="M425" s="34"/>
      <c r="N425" s="34"/>
      <c r="O425" s="34"/>
      <c r="P425" s="39"/>
      <c r="R425" s="40"/>
      <c r="S425" s="40"/>
      <c r="T425" s="40"/>
      <c r="U425" s="40"/>
    </row>
    <row r="426" spans="4:21" s="37" customFormat="1" ht="15.75" customHeight="1" x14ac:dyDescent="0.35">
      <c r="D426" s="40"/>
      <c r="E426" s="34"/>
      <c r="F426" s="34"/>
      <c r="G426" s="34"/>
      <c r="H426" s="34"/>
      <c r="I426" s="34"/>
      <c r="J426" s="39"/>
      <c r="K426" s="34"/>
      <c r="L426" s="34"/>
      <c r="M426" s="34"/>
      <c r="N426" s="34"/>
      <c r="O426" s="34"/>
      <c r="P426" s="39"/>
      <c r="R426" s="40"/>
      <c r="S426" s="40"/>
      <c r="T426" s="40"/>
      <c r="U426" s="40"/>
    </row>
    <row r="427" spans="4:21" s="37" customFormat="1" ht="15.75" customHeight="1" x14ac:dyDescent="0.35">
      <c r="D427" s="40"/>
      <c r="E427" s="34"/>
      <c r="F427" s="34"/>
      <c r="G427" s="34"/>
      <c r="H427" s="34"/>
      <c r="I427" s="34"/>
      <c r="J427" s="39"/>
      <c r="K427" s="34"/>
      <c r="L427" s="34"/>
      <c r="M427" s="34"/>
      <c r="N427" s="34"/>
      <c r="O427" s="34"/>
      <c r="P427" s="39"/>
      <c r="R427" s="40"/>
      <c r="S427" s="40"/>
      <c r="T427" s="40"/>
      <c r="U427" s="40"/>
    </row>
    <row r="428" spans="4:21" s="37" customFormat="1" ht="15.75" customHeight="1" x14ac:dyDescent="0.35">
      <c r="D428" s="40"/>
      <c r="E428" s="34"/>
      <c r="F428" s="34"/>
      <c r="G428" s="34"/>
      <c r="H428" s="34"/>
      <c r="I428" s="34"/>
      <c r="J428" s="39"/>
      <c r="K428" s="34"/>
      <c r="L428" s="34"/>
      <c r="M428" s="34"/>
      <c r="N428" s="34"/>
      <c r="O428" s="34"/>
      <c r="P428" s="39"/>
      <c r="R428" s="40"/>
      <c r="S428" s="40"/>
      <c r="T428" s="40"/>
      <c r="U428" s="40"/>
    </row>
    <row r="429" spans="4:21" s="37" customFormat="1" ht="15.75" customHeight="1" x14ac:dyDescent="0.35">
      <c r="D429" s="40"/>
      <c r="E429" s="34"/>
      <c r="F429" s="34"/>
      <c r="G429" s="34"/>
      <c r="H429" s="34"/>
      <c r="I429" s="34"/>
      <c r="J429" s="39"/>
      <c r="K429" s="34"/>
      <c r="L429" s="34"/>
      <c r="M429" s="34"/>
      <c r="N429" s="34"/>
      <c r="O429" s="34"/>
      <c r="P429" s="39"/>
      <c r="R429" s="40"/>
      <c r="S429" s="40"/>
      <c r="T429" s="40"/>
      <c r="U429" s="40"/>
    </row>
    <row r="430" spans="4:21" s="37" customFormat="1" ht="15.75" customHeight="1" x14ac:dyDescent="0.35">
      <c r="D430" s="40"/>
      <c r="E430" s="34"/>
      <c r="F430" s="34"/>
      <c r="G430" s="34"/>
      <c r="H430" s="34"/>
      <c r="I430" s="34"/>
      <c r="J430" s="39"/>
      <c r="K430" s="34"/>
      <c r="L430" s="34"/>
      <c r="M430" s="34"/>
      <c r="N430" s="34"/>
      <c r="O430" s="34"/>
      <c r="P430" s="39"/>
      <c r="R430" s="40"/>
      <c r="S430" s="40"/>
      <c r="T430" s="40"/>
      <c r="U430" s="40"/>
    </row>
    <row r="431" spans="4:21" s="37" customFormat="1" ht="15.75" customHeight="1" x14ac:dyDescent="0.35">
      <c r="D431" s="40"/>
      <c r="E431" s="34"/>
      <c r="F431" s="34"/>
      <c r="G431" s="34"/>
      <c r="H431" s="34"/>
      <c r="I431" s="34"/>
      <c r="J431" s="39"/>
      <c r="K431" s="34"/>
      <c r="L431" s="34"/>
      <c r="M431" s="34"/>
      <c r="N431" s="34"/>
      <c r="O431" s="34"/>
      <c r="P431" s="39"/>
      <c r="R431" s="40"/>
      <c r="S431" s="40"/>
      <c r="T431" s="40"/>
      <c r="U431" s="40"/>
    </row>
    <row r="432" spans="4:21" s="37" customFormat="1" ht="15.75" customHeight="1" x14ac:dyDescent="0.35">
      <c r="D432" s="40"/>
      <c r="E432" s="34"/>
      <c r="F432" s="34"/>
      <c r="G432" s="34"/>
      <c r="H432" s="34"/>
      <c r="I432" s="34"/>
      <c r="J432" s="39"/>
      <c r="K432" s="34"/>
      <c r="L432" s="34"/>
      <c r="M432" s="34"/>
      <c r="N432" s="34"/>
      <c r="O432" s="34"/>
      <c r="P432" s="39"/>
      <c r="R432" s="40"/>
      <c r="S432" s="40"/>
      <c r="T432" s="40"/>
      <c r="U432" s="40"/>
    </row>
    <row r="433" spans="4:21" s="37" customFormat="1" ht="15.75" customHeight="1" x14ac:dyDescent="0.35">
      <c r="D433" s="40"/>
      <c r="E433" s="34"/>
      <c r="F433" s="34"/>
      <c r="G433" s="34"/>
      <c r="H433" s="34"/>
      <c r="I433" s="34"/>
      <c r="J433" s="39"/>
      <c r="K433" s="34"/>
      <c r="L433" s="34"/>
      <c r="M433" s="34"/>
      <c r="N433" s="34"/>
      <c r="O433" s="34"/>
      <c r="P433" s="39"/>
      <c r="R433" s="40"/>
      <c r="S433" s="40"/>
      <c r="T433" s="40"/>
      <c r="U433" s="40"/>
    </row>
    <row r="434" spans="4:21" s="37" customFormat="1" ht="15.75" customHeight="1" x14ac:dyDescent="0.35">
      <c r="D434" s="40"/>
      <c r="E434" s="34"/>
      <c r="F434" s="34"/>
      <c r="G434" s="34"/>
      <c r="H434" s="34"/>
      <c r="I434" s="34"/>
      <c r="J434" s="39"/>
      <c r="K434" s="34"/>
      <c r="L434" s="34"/>
      <c r="M434" s="34"/>
      <c r="N434" s="34"/>
      <c r="O434" s="34"/>
      <c r="P434" s="39"/>
      <c r="R434" s="40"/>
      <c r="S434" s="40"/>
      <c r="T434" s="40"/>
      <c r="U434" s="40"/>
    </row>
    <row r="435" spans="4:21" s="37" customFormat="1" ht="15.75" customHeight="1" x14ac:dyDescent="0.35">
      <c r="D435" s="40"/>
      <c r="E435" s="34"/>
      <c r="F435" s="34"/>
      <c r="G435" s="34"/>
      <c r="H435" s="34"/>
      <c r="I435" s="34"/>
      <c r="J435" s="39"/>
      <c r="K435" s="34"/>
      <c r="L435" s="34"/>
      <c r="M435" s="34"/>
      <c r="N435" s="34"/>
      <c r="O435" s="34"/>
      <c r="P435" s="39"/>
      <c r="R435" s="40"/>
      <c r="S435" s="40"/>
      <c r="T435" s="40"/>
      <c r="U435" s="40"/>
    </row>
    <row r="436" spans="4:21" s="37" customFormat="1" ht="15.75" customHeight="1" x14ac:dyDescent="0.35">
      <c r="D436" s="40"/>
      <c r="E436" s="34"/>
      <c r="F436" s="34"/>
      <c r="G436" s="34"/>
      <c r="H436" s="34"/>
      <c r="I436" s="34"/>
      <c r="J436" s="39"/>
      <c r="K436" s="34"/>
      <c r="L436" s="34"/>
      <c r="M436" s="34"/>
      <c r="N436" s="34"/>
      <c r="O436" s="34"/>
      <c r="P436" s="39"/>
      <c r="R436" s="40"/>
      <c r="S436" s="40"/>
      <c r="T436" s="40"/>
      <c r="U436" s="40"/>
    </row>
    <row r="437" spans="4:21" s="37" customFormat="1" ht="15.75" customHeight="1" x14ac:dyDescent="0.35">
      <c r="D437" s="40"/>
      <c r="E437" s="34"/>
      <c r="F437" s="34"/>
      <c r="G437" s="34"/>
      <c r="H437" s="34"/>
      <c r="I437" s="34"/>
      <c r="J437" s="39"/>
      <c r="K437" s="34"/>
      <c r="L437" s="34"/>
      <c r="M437" s="34"/>
      <c r="N437" s="34"/>
      <c r="O437" s="34"/>
      <c r="P437" s="39"/>
      <c r="R437" s="40"/>
      <c r="S437" s="40"/>
      <c r="T437" s="40"/>
      <c r="U437" s="40"/>
    </row>
    <row r="438" spans="4:21" s="37" customFormat="1" ht="15.75" customHeight="1" x14ac:dyDescent="0.35">
      <c r="D438" s="40"/>
      <c r="E438" s="34"/>
      <c r="F438" s="34"/>
      <c r="G438" s="34"/>
      <c r="H438" s="34"/>
      <c r="I438" s="34"/>
      <c r="J438" s="39"/>
      <c r="K438" s="34"/>
      <c r="L438" s="34"/>
      <c r="M438" s="34"/>
      <c r="N438" s="34"/>
      <c r="O438" s="34"/>
      <c r="P438" s="39"/>
      <c r="R438" s="40"/>
      <c r="S438" s="40"/>
      <c r="T438" s="40"/>
      <c r="U438" s="40"/>
    </row>
    <row r="439" spans="4:21" s="37" customFormat="1" ht="15.75" customHeight="1" x14ac:dyDescent="0.35">
      <c r="D439" s="40"/>
      <c r="E439" s="34"/>
      <c r="F439" s="34"/>
      <c r="G439" s="34"/>
      <c r="H439" s="34"/>
      <c r="I439" s="34"/>
      <c r="J439" s="39"/>
      <c r="K439" s="34"/>
      <c r="L439" s="34"/>
      <c r="M439" s="34"/>
      <c r="N439" s="34"/>
      <c r="O439" s="34"/>
      <c r="P439" s="39"/>
      <c r="R439" s="40"/>
      <c r="S439" s="40"/>
      <c r="T439" s="40"/>
      <c r="U439" s="40"/>
    </row>
    <row r="440" spans="4:21" s="37" customFormat="1" ht="15.75" customHeight="1" x14ac:dyDescent="0.35">
      <c r="D440" s="40"/>
      <c r="E440" s="34"/>
      <c r="F440" s="34"/>
      <c r="G440" s="34"/>
      <c r="H440" s="34"/>
      <c r="I440" s="34"/>
      <c r="J440" s="39"/>
      <c r="K440" s="34"/>
      <c r="L440" s="34"/>
      <c r="M440" s="34"/>
      <c r="N440" s="34"/>
      <c r="O440" s="34"/>
      <c r="P440" s="39"/>
      <c r="R440" s="40"/>
      <c r="S440" s="40"/>
      <c r="T440" s="40"/>
      <c r="U440" s="40"/>
    </row>
    <row r="441" spans="4:21" s="37" customFormat="1" ht="15.75" customHeight="1" x14ac:dyDescent="0.35">
      <c r="D441" s="40"/>
      <c r="E441" s="34"/>
      <c r="F441" s="34"/>
      <c r="G441" s="34"/>
      <c r="H441" s="34"/>
      <c r="I441" s="34"/>
      <c r="J441" s="39"/>
      <c r="K441" s="34"/>
      <c r="L441" s="34"/>
      <c r="M441" s="34"/>
      <c r="N441" s="34"/>
      <c r="O441" s="34"/>
      <c r="P441" s="39"/>
      <c r="R441" s="40"/>
      <c r="S441" s="40"/>
      <c r="T441" s="40"/>
      <c r="U441" s="40"/>
    </row>
    <row r="442" spans="4:21" s="37" customFormat="1" ht="15.75" customHeight="1" x14ac:dyDescent="0.35">
      <c r="D442" s="40"/>
      <c r="E442" s="34"/>
      <c r="F442" s="34"/>
      <c r="G442" s="34"/>
      <c r="H442" s="34"/>
      <c r="I442" s="34"/>
      <c r="J442" s="39"/>
      <c r="K442" s="34"/>
      <c r="L442" s="34"/>
      <c r="M442" s="34"/>
      <c r="N442" s="34"/>
      <c r="O442" s="34"/>
      <c r="P442" s="39"/>
      <c r="R442" s="40"/>
      <c r="S442" s="40"/>
      <c r="T442" s="40"/>
      <c r="U442" s="40"/>
    </row>
    <row r="443" spans="4:21" s="37" customFormat="1" ht="15.75" customHeight="1" x14ac:dyDescent="0.35">
      <c r="D443" s="40"/>
      <c r="E443" s="34"/>
      <c r="F443" s="34"/>
      <c r="G443" s="34"/>
      <c r="H443" s="34"/>
      <c r="I443" s="34"/>
      <c r="J443" s="39"/>
      <c r="K443" s="34"/>
      <c r="L443" s="34"/>
      <c r="M443" s="34"/>
      <c r="N443" s="34"/>
      <c r="O443" s="34"/>
      <c r="P443" s="39"/>
      <c r="R443" s="40"/>
      <c r="S443" s="40"/>
      <c r="T443" s="40"/>
      <c r="U443" s="40"/>
    </row>
    <row r="444" spans="4:21" s="37" customFormat="1" ht="15.75" customHeight="1" x14ac:dyDescent="0.35">
      <c r="D444" s="40"/>
      <c r="E444" s="34"/>
      <c r="F444" s="34"/>
      <c r="G444" s="34"/>
      <c r="H444" s="34"/>
      <c r="I444" s="34"/>
      <c r="J444" s="39"/>
      <c r="K444" s="34"/>
      <c r="L444" s="34"/>
      <c r="M444" s="34"/>
      <c r="N444" s="34"/>
      <c r="O444" s="34"/>
      <c r="P444" s="39"/>
      <c r="R444" s="40"/>
      <c r="S444" s="40"/>
      <c r="T444" s="40"/>
      <c r="U444" s="40"/>
    </row>
    <row r="445" spans="4:21" s="37" customFormat="1" ht="15.75" customHeight="1" x14ac:dyDescent="0.35">
      <c r="D445" s="40"/>
      <c r="E445" s="34"/>
      <c r="F445" s="34"/>
      <c r="G445" s="34"/>
      <c r="H445" s="34"/>
      <c r="I445" s="34"/>
      <c r="J445" s="39"/>
      <c r="K445" s="34"/>
      <c r="L445" s="34"/>
      <c r="M445" s="34"/>
      <c r="N445" s="34"/>
      <c r="O445" s="34"/>
      <c r="P445" s="39"/>
      <c r="R445" s="40"/>
      <c r="S445" s="40"/>
      <c r="T445" s="40"/>
      <c r="U445" s="40"/>
    </row>
    <row r="446" spans="4:21" s="37" customFormat="1" ht="15.75" customHeight="1" x14ac:dyDescent="0.35">
      <c r="D446" s="40"/>
      <c r="E446" s="34"/>
      <c r="F446" s="34"/>
      <c r="G446" s="34"/>
      <c r="H446" s="34"/>
      <c r="I446" s="34"/>
      <c r="J446" s="39"/>
      <c r="K446" s="34"/>
      <c r="L446" s="34"/>
      <c r="M446" s="34"/>
      <c r="N446" s="34"/>
      <c r="O446" s="34"/>
      <c r="P446" s="39"/>
      <c r="R446" s="40"/>
      <c r="S446" s="40"/>
      <c r="T446" s="40"/>
      <c r="U446" s="40"/>
    </row>
    <row r="447" spans="4:21" s="37" customFormat="1" ht="15.75" customHeight="1" x14ac:dyDescent="0.35">
      <c r="D447" s="40"/>
      <c r="E447" s="34"/>
      <c r="F447" s="34"/>
      <c r="G447" s="34"/>
      <c r="H447" s="34"/>
      <c r="I447" s="34"/>
      <c r="J447" s="39"/>
      <c r="K447" s="34"/>
      <c r="L447" s="34"/>
      <c r="M447" s="34"/>
      <c r="N447" s="34"/>
      <c r="O447" s="34"/>
      <c r="P447" s="39"/>
      <c r="R447" s="40"/>
      <c r="S447" s="40"/>
      <c r="T447" s="40"/>
      <c r="U447" s="40"/>
    </row>
    <row r="448" spans="4:21" s="37" customFormat="1" ht="15.75" customHeight="1" x14ac:dyDescent="0.35">
      <c r="D448" s="40"/>
      <c r="E448" s="34"/>
      <c r="F448" s="34"/>
      <c r="G448" s="34"/>
      <c r="H448" s="34"/>
      <c r="I448" s="34"/>
      <c r="J448" s="39"/>
      <c r="K448" s="34"/>
      <c r="L448" s="34"/>
      <c r="M448" s="34"/>
      <c r="N448" s="34"/>
      <c r="O448" s="34"/>
      <c r="P448" s="39"/>
      <c r="R448" s="40"/>
      <c r="S448" s="40"/>
      <c r="T448" s="40"/>
      <c r="U448" s="40"/>
    </row>
    <row r="449" spans="4:21" s="37" customFormat="1" ht="15.75" customHeight="1" x14ac:dyDescent="0.35">
      <c r="D449" s="40"/>
      <c r="E449" s="34"/>
      <c r="F449" s="34"/>
      <c r="G449" s="34"/>
      <c r="H449" s="34"/>
      <c r="I449" s="34"/>
      <c r="J449" s="39"/>
      <c r="K449" s="34"/>
      <c r="L449" s="34"/>
      <c r="M449" s="34"/>
      <c r="N449" s="34"/>
      <c r="O449" s="34"/>
      <c r="P449" s="39"/>
      <c r="R449" s="40"/>
      <c r="S449" s="40"/>
      <c r="T449" s="40"/>
      <c r="U449" s="40"/>
    </row>
    <row r="450" spans="4:21" s="37" customFormat="1" ht="15.75" customHeight="1" x14ac:dyDescent="0.35">
      <c r="D450" s="40"/>
      <c r="E450" s="34"/>
      <c r="F450" s="34"/>
      <c r="G450" s="34"/>
      <c r="H450" s="34"/>
      <c r="I450" s="34"/>
      <c r="J450" s="39"/>
      <c r="K450" s="34"/>
      <c r="L450" s="34"/>
      <c r="M450" s="34"/>
      <c r="N450" s="34"/>
      <c r="O450" s="34"/>
      <c r="P450" s="39"/>
      <c r="R450" s="40"/>
      <c r="S450" s="40"/>
      <c r="T450" s="40"/>
      <c r="U450" s="40"/>
    </row>
    <row r="451" spans="4:21" s="37" customFormat="1" ht="15.75" customHeight="1" x14ac:dyDescent="0.35">
      <c r="D451" s="40"/>
      <c r="E451" s="34"/>
      <c r="F451" s="34"/>
      <c r="G451" s="34"/>
      <c r="H451" s="34"/>
      <c r="I451" s="34"/>
      <c r="J451" s="39"/>
      <c r="K451" s="34"/>
      <c r="L451" s="34"/>
      <c r="M451" s="34"/>
      <c r="N451" s="34"/>
      <c r="O451" s="34"/>
      <c r="P451" s="39"/>
      <c r="R451" s="40"/>
      <c r="S451" s="40"/>
      <c r="T451" s="40"/>
      <c r="U451" s="40"/>
    </row>
    <row r="452" spans="4:21" s="37" customFormat="1" ht="15.75" customHeight="1" x14ac:dyDescent="0.35">
      <c r="D452" s="40"/>
      <c r="E452" s="34"/>
      <c r="F452" s="34"/>
      <c r="G452" s="34"/>
      <c r="H452" s="34"/>
      <c r="I452" s="34"/>
      <c r="J452" s="39"/>
      <c r="K452" s="34"/>
      <c r="L452" s="34"/>
      <c r="M452" s="34"/>
      <c r="N452" s="34"/>
      <c r="O452" s="34"/>
      <c r="P452" s="39"/>
      <c r="R452" s="40"/>
      <c r="S452" s="40"/>
      <c r="T452" s="40"/>
      <c r="U452" s="40"/>
    </row>
    <row r="453" spans="4:21" s="37" customFormat="1" ht="15.75" customHeight="1" x14ac:dyDescent="0.35">
      <c r="D453" s="40"/>
      <c r="E453" s="34"/>
      <c r="F453" s="34"/>
      <c r="G453" s="34"/>
      <c r="H453" s="34"/>
      <c r="I453" s="34"/>
      <c r="J453" s="39"/>
      <c r="K453" s="34"/>
      <c r="L453" s="34"/>
      <c r="M453" s="34"/>
      <c r="N453" s="34"/>
      <c r="O453" s="34"/>
      <c r="P453" s="39"/>
      <c r="R453" s="40"/>
      <c r="S453" s="40"/>
      <c r="T453" s="40"/>
      <c r="U453" s="40"/>
    </row>
    <row r="454" spans="4:21" s="37" customFormat="1" ht="15.75" customHeight="1" x14ac:dyDescent="0.35">
      <c r="D454" s="40"/>
      <c r="E454" s="34"/>
      <c r="F454" s="34"/>
      <c r="G454" s="34"/>
      <c r="H454" s="34"/>
      <c r="I454" s="34"/>
      <c r="J454" s="39"/>
      <c r="K454" s="34"/>
      <c r="L454" s="34"/>
      <c r="M454" s="34"/>
      <c r="N454" s="34"/>
      <c r="O454" s="34"/>
      <c r="P454" s="39"/>
      <c r="R454" s="40"/>
      <c r="S454" s="40"/>
      <c r="T454" s="40"/>
      <c r="U454" s="40"/>
    </row>
    <row r="455" spans="4:21" s="37" customFormat="1" ht="15.75" customHeight="1" x14ac:dyDescent="0.35">
      <c r="D455" s="40"/>
      <c r="E455" s="34"/>
      <c r="F455" s="34"/>
      <c r="G455" s="34"/>
      <c r="H455" s="34"/>
      <c r="I455" s="34"/>
      <c r="J455" s="39"/>
      <c r="K455" s="34"/>
      <c r="L455" s="34"/>
      <c r="M455" s="34"/>
      <c r="N455" s="34"/>
      <c r="O455" s="34"/>
      <c r="P455" s="39"/>
      <c r="R455" s="40"/>
      <c r="S455" s="40"/>
      <c r="T455" s="40"/>
      <c r="U455" s="40"/>
    </row>
    <row r="456" spans="4:21" s="37" customFormat="1" ht="15.75" customHeight="1" x14ac:dyDescent="0.35">
      <c r="D456" s="40"/>
      <c r="E456" s="34"/>
      <c r="F456" s="34"/>
      <c r="G456" s="34"/>
      <c r="H456" s="34"/>
      <c r="I456" s="34"/>
      <c r="J456" s="39"/>
      <c r="K456" s="34"/>
      <c r="L456" s="34"/>
      <c r="M456" s="34"/>
      <c r="N456" s="34"/>
      <c r="O456" s="34"/>
      <c r="P456" s="39"/>
      <c r="R456" s="40"/>
      <c r="S456" s="40"/>
      <c r="T456" s="40"/>
      <c r="U456" s="40"/>
    </row>
    <row r="457" spans="4:21" s="37" customFormat="1" ht="15.75" customHeight="1" x14ac:dyDescent="0.35">
      <c r="D457" s="40"/>
      <c r="E457" s="34"/>
      <c r="F457" s="34"/>
      <c r="G457" s="34"/>
      <c r="H457" s="34"/>
      <c r="I457" s="34"/>
      <c r="J457" s="39"/>
      <c r="K457" s="34"/>
      <c r="L457" s="34"/>
      <c r="M457" s="34"/>
      <c r="N457" s="34"/>
      <c r="O457" s="34"/>
      <c r="P457" s="39"/>
      <c r="R457" s="40"/>
      <c r="S457" s="40"/>
      <c r="T457" s="40"/>
      <c r="U457" s="40"/>
    </row>
    <row r="458" spans="4:21" s="37" customFormat="1" ht="15.75" customHeight="1" x14ac:dyDescent="0.35">
      <c r="D458" s="40"/>
      <c r="E458" s="34"/>
      <c r="F458" s="34"/>
      <c r="G458" s="34"/>
      <c r="H458" s="34"/>
      <c r="I458" s="34"/>
      <c r="J458" s="39"/>
      <c r="K458" s="34"/>
      <c r="L458" s="34"/>
      <c r="M458" s="34"/>
      <c r="N458" s="34"/>
      <c r="O458" s="34"/>
      <c r="P458" s="39"/>
      <c r="R458" s="40"/>
      <c r="S458" s="40"/>
      <c r="T458" s="40"/>
      <c r="U458" s="40"/>
    </row>
    <row r="459" spans="4:21" s="37" customFormat="1" ht="15.75" customHeight="1" x14ac:dyDescent="0.35">
      <c r="D459" s="40"/>
      <c r="E459" s="34"/>
      <c r="F459" s="34"/>
      <c r="G459" s="34"/>
      <c r="H459" s="34"/>
      <c r="I459" s="34"/>
      <c r="J459" s="39"/>
      <c r="K459" s="34"/>
      <c r="L459" s="34"/>
      <c r="M459" s="34"/>
      <c r="N459" s="34"/>
      <c r="O459" s="34"/>
      <c r="P459" s="39"/>
      <c r="R459" s="40"/>
      <c r="S459" s="40"/>
      <c r="T459" s="40"/>
      <c r="U459" s="40"/>
    </row>
    <row r="460" spans="4:21" s="37" customFormat="1" ht="15.75" customHeight="1" x14ac:dyDescent="0.35">
      <c r="D460" s="40"/>
      <c r="E460" s="34"/>
      <c r="F460" s="34"/>
      <c r="G460" s="34"/>
      <c r="H460" s="34"/>
      <c r="I460" s="34"/>
      <c r="J460" s="39"/>
      <c r="K460" s="34"/>
      <c r="L460" s="34"/>
      <c r="M460" s="34"/>
      <c r="N460" s="34"/>
      <c r="O460" s="34"/>
      <c r="P460" s="39"/>
      <c r="R460" s="40"/>
      <c r="S460" s="40"/>
      <c r="T460" s="40"/>
      <c r="U460" s="40"/>
    </row>
    <row r="461" spans="4:21" s="37" customFormat="1" ht="15.75" customHeight="1" x14ac:dyDescent="0.35">
      <c r="D461" s="40"/>
      <c r="E461" s="34"/>
      <c r="F461" s="34"/>
      <c r="G461" s="34"/>
      <c r="H461" s="34"/>
      <c r="I461" s="34"/>
      <c r="J461" s="39"/>
      <c r="K461" s="34"/>
      <c r="L461" s="34"/>
      <c r="M461" s="34"/>
      <c r="N461" s="34"/>
      <c r="O461" s="34"/>
      <c r="P461" s="39"/>
      <c r="R461" s="40"/>
      <c r="S461" s="40"/>
      <c r="T461" s="40"/>
      <c r="U461" s="40"/>
    </row>
    <row r="462" spans="4:21" s="37" customFormat="1" ht="15.75" customHeight="1" x14ac:dyDescent="0.35">
      <c r="D462" s="40"/>
      <c r="E462" s="34"/>
      <c r="F462" s="34"/>
      <c r="G462" s="34"/>
      <c r="H462" s="34"/>
      <c r="I462" s="34"/>
      <c r="J462" s="39"/>
      <c r="K462" s="34"/>
      <c r="L462" s="34"/>
      <c r="M462" s="34"/>
      <c r="N462" s="34"/>
      <c r="O462" s="34"/>
      <c r="P462" s="39"/>
      <c r="R462" s="40"/>
      <c r="S462" s="40"/>
      <c r="T462" s="40"/>
      <c r="U462" s="40"/>
    </row>
    <row r="463" spans="4:21" s="37" customFormat="1" ht="15.75" customHeight="1" x14ac:dyDescent="0.35">
      <c r="D463" s="40"/>
      <c r="E463" s="34"/>
      <c r="F463" s="34"/>
      <c r="G463" s="34"/>
      <c r="H463" s="34"/>
      <c r="I463" s="34"/>
      <c r="J463" s="39"/>
      <c r="K463" s="34"/>
      <c r="L463" s="34"/>
      <c r="M463" s="34"/>
      <c r="N463" s="34"/>
      <c r="O463" s="34"/>
      <c r="P463" s="39"/>
      <c r="R463" s="40"/>
      <c r="S463" s="40"/>
      <c r="T463" s="40"/>
      <c r="U463" s="40"/>
    </row>
    <row r="464" spans="4:21" s="37" customFormat="1" ht="15.75" customHeight="1" x14ac:dyDescent="0.35">
      <c r="D464" s="40"/>
      <c r="E464" s="34"/>
      <c r="F464" s="34"/>
      <c r="G464" s="34"/>
      <c r="H464" s="34"/>
      <c r="I464" s="34"/>
      <c r="J464" s="39"/>
      <c r="K464" s="34"/>
      <c r="L464" s="34"/>
      <c r="M464" s="34"/>
      <c r="N464" s="34"/>
      <c r="O464" s="34"/>
      <c r="P464" s="39"/>
      <c r="R464" s="40"/>
      <c r="S464" s="40"/>
      <c r="T464" s="40"/>
      <c r="U464" s="40"/>
    </row>
    <row r="465" spans="4:21" s="37" customFormat="1" ht="16.95" customHeight="1" x14ac:dyDescent="0.35">
      <c r="D465" s="40"/>
      <c r="E465" s="34"/>
      <c r="F465" s="34"/>
      <c r="G465" s="34"/>
      <c r="H465" s="34"/>
      <c r="I465" s="34"/>
      <c r="J465" s="39"/>
      <c r="K465" s="34"/>
      <c r="L465" s="34"/>
      <c r="M465" s="34"/>
      <c r="N465" s="34"/>
      <c r="O465" s="34"/>
      <c r="P465" s="39"/>
      <c r="R465" s="40"/>
      <c r="S465" s="40"/>
      <c r="T465" s="40"/>
      <c r="U465" s="40"/>
    </row>
    <row r="466" spans="4:21" ht="15.75" customHeight="1" x14ac:dyDescent="0.35"/>
    <row r="467" spans="4:21" ht="15.75" customHeight="1" x14ac:dyDescent="0.35"/>
    <row r="468" spans="4:21" ht="15.75" customHeight="1" x14ac:dyDescent="0.35"/>
    <row r="469" spans="4:21" ht="15.75" customHeight="1" x14ac:dyDescent="0.35"/>
    <row r="470" spans="4:21" ht="15.75" customHeight="1" x14ac:dyDescent="0.35"/>
    <row r="471" spans="4:21" ht="15.75" customHeight="1" x14ac:dyDescent="0.35"/>
    <row r="472" spans="4:21" ht="15.75" customHeight="1" x14ac:dyDescent="0.35"/>
    <row r="473" spans="4:21" ht="15.75" customHeight="1" x14ac:dyDescent="0.35"/>
    <row r="474" spans="4:21" ht="15.75" customHeight="1" x14ac:dyDescent="0.35"/>
    <row r="475" spans="4:21" ht="15.75" customHeight="1" x14ac:dyDescent="0.35"/>
    <row r="476" spans="4:21" ht="15.75" customHeight="1" x14ac:dyDescent="0.35"/>
    <row r="477" spans="4:21" ht="15.75" customHeight="1" x14ac:dyDescent="0.35"/>
    <row r="478" spans="4:21" ht="15.75" customHeight="1" x14ac:dyDescent="0.35"/>
    <row r="479" spans="4:21" ht="15.75" customHeight="1" x14ac:dyDescent="0.35"/>
    <row r="480" spans="4:21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</sheetData>
  <sheetProtection sheet="1" selectLockedCells="0" selectUnlockedCells="0"/>
  <mergeCells count="109">
    <mergeCell ref="E46:I46"/>
    <mergeCell ref="K46:O46"/>
    <mergeCell ref="K47:P47"/>
    <mergeCell ref="E50:I50"/>
    <mergeCell ref="E42:I42"/>
    <mergeCell ref="K42:P42"/>
    <mergeCell ref="B43:C46"/>
    <mergeCell ref="E43:I43"/>
    <mergeCell ref="K43:O43"/>
    <mergeCell ref="Q43:U43"/>
    <mergeCell ref="E44:I44"/>
    <mergeCell ref="K44:O44"/>
    <mergeCell ref="E45:I45"/>
    <mergeCell ref="K45:O45"/>
    <mergeCell ref="B38:C41"/>
    <mergeCell ref="E38:I38"/>
    <mergeCell ref="K38:O38"/>
    <mergeCell ref="Q38:U38"/>
    <mergeCell ref="E39:I39"/>
    <mergeCell ref="K39:O39"/>
    <mergeCell ref="E40:I40"/>
    <mergeCell ref="K40:O40"/>
    <mergeCell ref="E41:I41"/>
    <mergeCell ref="K41:O41"/>
    <mergeCell ref="E35:I35"/>
    <mergeCell ref="K35:O35"/>
    <mergeCell ref="E36:I36"/>
    <mergeCell ref="K36:O36"/>
    <mergeCell ref="D37:I37"/>
    <mergeCell ref="K37:P37"/>
    <mergeCell ref="E31:I31"/>
    <mergeCell ref="K31:O31"/>
    <mergeCell ref="B32:C36"/>
    <mergeCell ref="E32:I32"/>
    <mergeCell ref="K32:O32"/>
    <mergeCell ref="Q32:U32"/>
    <mergeCell ref="E33:I33"/>
    <mergeCell ref="K33:O33"/>
    <mergeCell ref="E34:I34"/>
    <mergeCell ref="K34:O34"/>
    <mergeCell ref="Q27:U27"/>
    <mergeCell ref="E28:I28"/>
    <mergeCell ref="K28:O28"/>
    <mergeCell ref="E29:I29"/>
    <mergeCell ref="K29:O29"/>
    <mergeCell ref="E30:I30"/>
    <mergeCell ref="K30:O30"/>
    <mergeCell ref="E26:I26"/>
    <mergeCell ref="K26:O26"/>
    <mergeCell ref="B27:B30"/>
    <mergeCell ref="C27:C30"/>
    <mergeCell ref="E27:I27"/>
    <mergeCell ref="K27:O27"/>
    <mergeCell ref="Q22:U22"/>
    <mergeCell ref="E23:I23"/>
    <mergeCell ref="K23:O23"/>
    <mergeCell ref="E24:I24"/>
    <mergeCell ref="K24:O24"/>
    <mergeCell ref="E25:I25"/>
    <mergeCell ref="K25:O25"/>
    <mergeCell ref="E20:I20"/>
    <mergeCell ref="K20:O20"/>
    <mergeCell ref="E21:I21"/>
    <mergeCell ref="K21:O21"/>
    <mergeCell ref="B22:C25"/>
    <mergeCell ref="E22:I22"/>
    <mergeCell ref="K22:O22"/>
    <mergeCell ref="E16:I16"/>
    <mergeCell ref="K16:P16"/>
    <mergeCell ref="B17:C20"/>
    <mergeCell ref="E17:I17"/>
    <mergeCell ref="K17:O17"/>
    <mergeCell ref="E19:I19"/>
    <mergeCell ref="K19:O19"/>
    <mergeCell ref="B2:D4"/>
    <mergeCell ref="E2:I2"/>
    <mergeCell ref="K2:O2"/>
    <mergeCell ref="I3:I4"/>
    <mergeCell ref="O3:O4"/>
    <mergeCell ref="Q4:U4"/>
    <mergeCell ref="E5:I5"/>
    <mergeCell ref="K5:O5"/>
    <mergeCell ref="B6:C9"/>
    <mergeCell ref="E6:I6"/>
    <mergeCell ref="K6:O6"/>
    <mergeCell ref="Q6:U6"/>
    <mergeCell ref="E7:I7"/>
    <mergeCell ref="K7:O7"/>
    <mergeCell ref="E8:I8"/>
    <mergeCell ref="K8:O8"/>
    <mergeCell ref="E9:I9"/>
    <mergeCell ref="K9:O9"/>
    <mergeCell ref="E10:I10"/>
    <mergeCell ref="K10:O10"/>
    <mergeCell ref="B11:C15"/>
    <mergeCell ref="E11:I11"/>
    <mergeCell ref="K11:O11"/>
    <mergeCell ref="E15:I15"/>
    <mergeCell ref="K15:O15"/>
    <mergeCell ref="Q17:U17"/>
    <mergeCell ref="E18:I18"/>
    <mergeCell ref="K18:O18"/>
    <mergeCell ref="Q11:U11"/>
    <mergeCell ref="E12:I12"/>
    <mergeCell ref="K12:O12"/>
    <mergeCell ref="E13:I13"/>
    <mergeCell ref="K13:O13"/>
    <mergeCell ref="E14:I14"/>
    <mergeCell ref="K14:O14"/>
  </mergeCells>
  <phoneticPr fontId="11" type="noConversion"/>
  <conditionalFormatting sqref="E3">
    <cfRule type="expression" dxfId="161" priority="22">
      <formula>$E$11 &gt; 12</formula>
    </cfRule>
    <cfRule type="expression" dxfId="160" priority="31">
      <formula>$E$11&lt;7</formula>
    </cfRule>
    <cfRule type="expression" dxfId="159" priority="29">
      <formula>$E$11 &gt;6</formula>
    </cfRule>
  </conditionalFormatting>
  <conditionalFormatting sqref="E4">
    <cfRule type="expression" dxfId="158" priority="26">
      <formula>$E$43 &gt; 11</formula>
    </cfRule>
    <cfRule type="expression" dxfId="157" priority="38">
      <formula>$E$43&lt;7</formula>
    </cfRule>
    <cfRule type="expression" dxfId="156" priority="37">
      <formula>$E$43 &gt;6</formula>
    </cfRule>
  </conditionalFormatting>
  <conditionalFormatting sqref="F3">
    <cfRule type="expression" dxfId="155" priority="23">
      <formula>$E$17 &gt; 12</formula>
    </cfRule>
    <cfRule type="expression" dxfId="154" priority="33">
      <formula>$E$17&lt;7</formula>
    </cfRule>
    <cfRule type="expression" dxfId="153" priority="32">
      <formula>$E$17 &gt;6</formula>
    </cfRule>
  </conditionalFormatting>
  <conditionalFormatting sqref="F4">
    <cfRule type="expression" dxfId="152" priority="27" stopIfTrue="1">
      <formula>$E$6 &gt; 11</formula>
    </cfRule>
    <cfRule type="expression" dxfId="151" priority="40" stopIfTrue="1">
      <formula>$E$6&lt;7</formula>
    </cfRule>
    <cfRule type="expression" dxfId="150" priority="39" stopIfTrue="1">
      <formula>$E$6 &gt;6</formula>
    </cfRule>
  </conditionalFormatting>
  <conditionalFormatting sqref="G3">
    <cfRule type="expression" dxfId="149" priority="24">
      <formula>$E$32 &gt; 12</formula>
    </cfRule>
    <cfRule type="expression" dxfId="148" priority="34">
      <formula>$E$32&lt;7</formula>
    </cfRule>
    <cfRule type="expression" dxfId="147" priority="30">
      <formula>$E$32 &gt;6</formula>
    </cfRule>
  </conditionalFormatting>
  <conditionalFormatting sqref="G4">
    <cfRule type="expression" dxfId="146" priority="42">
      <formula>$E$22 &lt;7</formula>
    </cfRule>
    <cfRule type="expression" dxfId="145" priority="41" stopIfTrue="1">
      <formula>$E$22 &gt;6</formula>
    </cfRule>
    <cfRule type="expression" dxfId="144" priority="28" stopIfTrue="1">
      <formula>$E$22 &gt; 11</formula>
    </cfRule>
  </conditionalFormatting>
  <conditionalFormatting sqref="H3">
    <cfRule type="expression" dxfId="143" priority="25">
      <formula>$E$38 &gt; 12</formula>
    </cfRule>
    <cfRule type="expression" dxfId="142" priority="36">
      <formula>$E$38&lt;7</formula>
    </cfRule>
    <cfRule type="expression" dxfId="141" priority="35">
      <formula>$E$38 &gt;6</formula>
    </cfRule>
  </conditionalFormatting>
  <conditionalFormatting sqref="H4">
    <cfRule type="expression" dxfId="140" priority="48">
      <formula>$E$27&lt;7</formula>
    </cfRule>
    <cfRule type="expression" dxfId="139" priority="46">
      <formula>$E$27 &gt; 11</formula>
    </cfRule>
    <cfRule type="expression" dxfId="138" priority="47">
      <formula>$E$27 &gt;6</formula>
    </cfRule>
  </conditionalFormatting>
  <conditionalFormatting sqref="I3:I4">
    <cfRule type="cellIs" dxfId="137" priority="43" operator="lessThanOrEqual">
      <formula>60</formula>
    </cfRule>
    <cfRule type="cellIs" dxfId="136" priority="44" operator="between">
      <formula>61</formula>
      <formula>99</formula>
    </cfRule>
    <cfRule type="cellIs" dxfId="135" priority="45" operator="equal">
      <formula>100</formula>
    </cfRule>
  </conditionalFormatting>
  <conditionalFormatting sqref="K3">
    <cfRule type="expression" dxfId="134" priority="4">
      <formula>$K$11 &gt; 12</formula>
    </cfRule>
    <cfRule type="expression" dxfId="133" priority="11">
      <formula>$K$11&lt;7</formula>
    </cfRule>
    <cfRule type="expression" dxfId="132" priority="9">
      <formula>$K$11 &gt;6</formula>
    </cfRule>
  </conditionalFormatting>
  <conditionalFormatting sqref="K4">
    <cfRule type="expression" dxfId="131" priority="18">
      <formula>$K$43&lt;7</formula>
    </cfRule>
    <cfRule type="expression" dxfId="130" priority="17">
      <formula>$K$43 &gt;6</formula>
    </cfRule>
    <cfRule type="expression" dxfId="129" priority="8">
      <formula>$K$43 &gt; 11</formula>
    </cfRule>
  </conditionalFormatting>
  <conditionalFormatting sqref="L3">
    <cfRule type="expression" dxfId="128" priority="13">
      <formula>$K$17&lt;7</formula>
    </cfRule>
    <cfRule type="expression" dxfId="127" priority="5">
      <formula>$K$17 &gt; 12</formula>
    </cfRule>
    <cfRule type="expression" dxfId="126" priority="12">
      <formula>$K$17 &gt;6</formula>
    </cfRule>
  </conditionalFormatting>
  <conditionalFormatting sqref="L4">
    <cfRule type="expression" dxfId="125" priority="2">
      <formula>$K$6 &gt;6</formula>
    </cfRule>
    <cfRule type="expression" dxfId="124" priority="3">
      <formula>$K$6&lt;7</formula>
    </cfRule>
    <cfRule type="expression" dxfId="123" priority="1">
      <formula>$K$6 &gt; 11</formula>
    </cfRule>
  </conditionalFormatting>
  <conditionalFormatting sqref="M3">
    <cfRule type="expression" dxfId="122" priority="6">
      <formula>$K$32 &gt; 12</formula>
    </cfRule>
    <cfRule type="expression" dxfId="121" priority="14">
      <formula>$K$32&lt;7</formula>
    </cfRule>
    <cfRule type="expression" dxfId="120" priority="10">
      <formula>$K$32 &gt;6</formula>
    </cfRule>
  </conditionalFormatting>
  <conditionalFormatting sqref="M4">
    <cfRule type="expression" dxfId="119" priority="52" stopIfTrue="1">
      <formula>$K$22 &gt; 11</formula>
    </cfRule>
    <cfRule type="expression" dxfId="118" priority="53" stopIfTrue="1">
      <formula>$K$22 &gt;6</formula>
    </cfRule>
    <cfRule type="expression" dxfId="117" priority="54" stopIfTrue="1">
      <formula>$K$22 &lt;7</formula>
    </cfRule>
  </conditionalFormatting>
  <conditionalFormatting sqref="N3">
    <cfRule type="expression" dxfId="116" priority="16">
      <formula>$K$38&lt;7</formula>
    </cfRule>
    <cfRule type="expression" dxfId="115" priority="15">
      <formula>$K$38 &gt;6</formula>
    </cfRule>
    <cfRule type="expression" dxfId="114" priority="7">
      <formula>$K$38 &gt; 12</formula>
    </cfRule>
  </conditionalFormatting>
  <conditionalFormatting sqref="N4">
    <cfRule type="expression" dxfId="113" priority="49">
      <formula>$K$27 &gt; 11</formula>
    </cfRule>
    <cfRule type="expression" dxfId="112" priority="50">
      <formula>$K$27 &gt;6</formula>
    </cfRule>
    <cfRule type="expression" dxfId="111" priority="51">
      <formula>$K$27&lt;7</formula>
    </cfRule>
  </conditionalFormatting>
  <conditionalFormatting sqref="O3:O4">
    <cfRule type="cellIs" dxfId="110" priority="19" operator="lessThanOrEqual">
      <formula>60</formula>
    </cfRule>
    <cfRule type="cellIs" dxfId="109" priority="21" operator="equal">
      <formula>100</formula>
    </cfRule>
    <cfRule type="cellIs" dxfId="108" priority="20" operator="between">
      <formula>61</formula>
      <formula>99</formula>
    </cfRule>
  </conditionalFormatting>
  <dataValidations count="1">
    <dataValidation type="list" allowBlank="1" sqref="E33:E36 E7:E9 E23:E31 K33:K36 K27:K30 K39:K41 K44:K46 E44:E46 E12:E15 E18:E21 E39:E41 K23:K25 K18:K20 K12:K15 K7:K9" xr:uid="{9D074FFD-A83D-264F-A006-16C5CB51D231}">
      <formula1>"Yes,No"</formula1>
    </dataValidation>
  </dataValidations>
  <pageMargins left="0.25" right="0.25" top="0.75" bottom="0.75" header="0.3" footer="0.3"/>
  <pageSetup scale="3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B7D7-B2BF-6C4A-AB57-6F4E56130C75}">
  <sheetPr>
    <outlinePr summaryBelow="0" summaryRight="0"/>
    <pageSetUpPr fitToPage="1"/>
  </sheetPr>
  <dimension ref="A1:CO1007"/>
  <sheetViews>
    <sheetView tabSelected="1" zoomScale="177" zoomScaleNormal="100" workbookViewId="0">
      <pane xSplit="4" ySplit="5" topLeftCell="E25" activePane="bottomRight" state="frozen"/>
      <selection pane="topRight" activeCell="C1" sqref="C1"/>
      <selection pane="bottomLeft" activeCell="A5" sqref="A5"/>
      <selection pane="bottomRight" activeCell="D27" sqref="D27"/>
    </sheetView>
  </sheetViews>
  <sheetFormatPr defaultColWidth="14.44140625" defaultRowHeight="15" customHeight="1" x14ac:dyDescent="0.35"/>
  <cols>
    <col min="1" max="1" width="2.33203125" style="3" customWidth="1"/>
    <col min="2" max="2" width="3.77734375" style="3" customWidth="1"/>
    <col min="3" max="3" width="4.21875" style="3" customWidth="1"/>
    <col min="4" max="4" width="73.6640625" style="4" customWidth="1"/>
    <col min="5" max="5" width="11.33203125" customWidth="1"/>
    <col min="6" max="6" width="13.44140625" customWidth="1"/>
    <col min="7" max="7" width="11.21875" customWidth="1"/>
    <col min="8" max="8" width="11.44140625" customWidth="1"/>
    <col min="9" max="9" width="15.33203125" customWidth="1"/>
    <col min="10" max="10" width="12.33203125" style="6" hidden="1" customWidth="1"/>
    <col min="11" max="11" width="11.33203125" customWidth="1"/>
    <col min="12" max="12" width="12.44140625" customWidth="1"/>
    <col min="13" max="13" width="11.21875" customWidth="1"/>
    <col min="14" max="14" width="11.44140625" customWidth="1"/>
    <col min="15" max="15" width="15.33203125" customWidth="1"/>
    <col min="16" max="16" width="14.21875" style="6" hidden="1" customWidth="1"/>
    <col min="17" max="17" width="27.21875" style="3" customWidth="1"/>
    <col min="18" max="18" width="29.6640625" style="4" customWidth="1"/>
    <col min="19" max="19" width="26.6640625" style="4" customWidth="1"/>
    <col min="20" max="20" width="18.77734375" style="4" customWidth="1"/>
    <col min="21" max="21" width="18.33203125" style="4" customWidth="1"/>
    <col min="22" max="16384" width="14.44140625" style="3"/>
  </cols>
  <sheetData>
    <row r="1" spans="1:93" s="37" customFormat="1" ht="15" customHeight="1" thickBot="1" x14ac:dyDescent="0.4">
      <c r="E1" s="34"/>
      <c r="F1" s="34"/>
      <c r="G1" s="34"/>
      <c r="H1" s="34"/>
      <c r="I1" s="34"/>
      <c r="J1" s="39"/>
      <c r="K1" s="34"/>
      <c r="L1" s="34"/>
      <c r="M1" s="34"/>
      <c r="N1" s="34"/>
      <c r="O1" s="34"/>
      <c r="P1" s="39"/>
      <c r="R1" s="40"/>
      <c r="S1" s="40"/>
      <c r="T1" s="40"/>
      <c r="U1" s="40"/>
    </row>
    <row r="2" spans="1:93" ht="43.05" customHeight="1" x14ac:dyDescent="0.35">
      <c r="A2" s="37"/>
      <c r="B2" s="90" t="s">
        <v>0</v>
      </c>
      <c r="C2" s="91"/>
      <c r="D2" s="92"/>
      <c r="E2" s="99" t="s">
        <v>60</v>
      </c>
      <c r="F2" s="100"/>
      <c r="G2" s="100"/>
      <c r="H2" s="100"/>
      <c r="I2" s="101"/>
      <c r="J2" s="30"/>
      <c r="K2" s="102" t="s">
        <v>61</v>
      </c>
      <c r="L2" s="103"/>
      <c r="M2" s="103"/>
      <c r="N2" s="103"/>
      <c r="O2" s="104"/>
      <c r="Q2" s="37"/>
      <c r="R2" s="40"/>
      <c r="S2" s="40"/>
      <c r="T2" s="40"/>
      <c r="U2" s="40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</row>
    <row r="3" spans="1:93" ht="56.55" customHeight="1" thickBot="1" x14ac:dyDescent="0.45">
      <c r="A3" s="37"/>
      <c r="B3" s="93"/>
      <c r="C3" s="94"/>
      <c r="D3" s="95"/>
      <c r="E3" s="28" t="s">
        <v>34</v>
      </c>
      <c r="F3" s="9" t="s">
        <v>39</v>
      </c>
      <c r="G3" s="9" t="s">
        <v>36</v>
      </c>
      <c r="H3" s="9" t="s">
        <v>38</v>
      </c>
      <c r="I3" s="105">
        <f>SUM(E6,E17,E27,E32,E38)</f>
      </c>
      <c r="K3" s="28" t="s">
        <v>34</v>
      </c>
      <c r="L3" s="9" t="s">
        <v>41</v>
      </c>
      <c r="M3" s="9" t="s">
        <v>36</v>
      </c>
      <c r="N3" s="9" t="s">
        <v>38</v>
      </c>
      <c r="O3" s="105">
        <f>SUM(K6,K17,K27,K32,K38)</f>
      </c>
      <c r="Q3" s="41"/>
      <c r="R3" s="41"/>
      <c r="S3" s="41"/>
      <c r="T3" s="41"/>
      <c r="U3" s="41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</row>
    <row r="4" spans="1:93" ht="56.55" customHeight="1" thickTop="1" thickBot="1" x14ac:dyDescent="0.55000000000000004">
      <c r="A4" s="37"/>
      <c r="B4" s="96"/>
      <c r="C4" s="97"/>
      <c r="D4" s="98"/>
      <c r="E4" s="29" t="s">
        <v>35</v>
      </c>
      <c r="F4" s="26" t="s">
        <v>78</v>
      </c>
      <c r="G4" s="26" t="s">
        <v>37</v>
      </c>
      <c r="H4" s="26" t="s">
        <v>42</v>
      </c>
      <c r="I4" s="106"/>
      <c r="J4" s="27"/>
      <c r="K4" s="29" t="s">
        <v>35</v>
      </c>
      <c r="L4" s="26" t="s">
        <v>78</v>
      </c>
      <c r="M4" s="26" t="s">
        <v>37</v>
      </c>
      <c r="N4" s="26" t="s">
        <v>42</v>
      </c>
      <c r="O4" s="106"/>
      <c r="Q4" s="107" t="s">
        <v>83</v>
      </c>
      <c r="R4" s="107"/>
      <c r="S4" s="107"/>
      <c r="T4" s="107"/>
      <c r="U4" s="107"/>
      <c r="V4" s="37"/>
      <c r="W4" s="42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</row>
    <row r="5" spans="1:93" s="13" customFormat="1" ht="28.05" customHeight="1" x14ac:dyDescent="0.4">
      <c r="A5" s="38"/>
      <c r="C5" s="22"/>
      <c r="D5" s="10"/>
      <c r="E5" s="108"/>
      <c r="F5" s="109"/>
      <c r="G5" s="109"/>
      <c r="H5" s="109"/>
      <c r="I5" s="110"/>
      <c r="J5" s="20"/>
      <c r="K5" s="108"/>
      <c r="L5" s="109"/>
      <c r="M5" s="109"/>
      <c r="N5" s="109"/>
      <c r="O5" s="110"/>
      <c r="P5" s="20"/>
      <c r="Q5" s="11" t="s">
        <v>28</v>
      </c>
      <c r="R5" s="12" t="s">
        <v>1</v>
      </c>
      <c r="S5" s="12" t="s">
        <v>2</v>
      </c>
      <c r="T5" s="12" t="s">
        <v>3</v>
      </c>
      <c r="U5" s="12" t="s">
        <v>4</v>
      </c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</row>
    <row r="6" spans="1:93" s="13" customFormat="1" ht="19.05" customHeight="1" x14ac:dyDescent="0.25">
      <c r="A6" s="38"/>
      <c r="B6" s="111" t="s">
        <v>55</v>
      </c>
      <c r="C6" s="111"/>
      <c r="D6" s="24" t="s">
        <v>62</v>
      </c>
      <c r="E6" s="86">
        <f>SUM(J7:J9)</f>
      </c>
      <c r="F6" s="87"/>
      <c r="G6" s="87"/>
      <c r="H6" s="87"/>
      <c r="I6" s="88"/>
      <c r="J6" s="20"/>
      <c r="K6" s="86">
        <f>SUM(P7:P9)</f>
      </c>
      <c r="L6" s="87"/>
      <c r="M6" s="87"/>
      <c r="N6" s="87"/>
      <c r="O6" s="88"/>
      <c r="P6" s="20"/>
      <c r="Q6" s="86"/>
      <c r="R6" s="87"/>
      <c r="S6" s="87"/>
      <c r="T6" s="87"/>
      <c r="U6" s="8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</row>
    <row r="7" spans="1:93" s="13" customFormat="1" ht="17.399999999999999" x14ac:dyDescent="0.25">
      <c r="A7" s="38"/>
      <c r="B7" s="111"/>
      <c r="C7" s="111"/>
      <c r="D7" s="25" t="s">
        <v>5</v>
      </c>
      <c r="E7" s="173" t="s">
        <v>7</v>
      </c>
      <c r="F7" s="87"/>
      <c r="G7" s="87"/>
      <c r="H7" s="87"/>
      <c r="I7" s="88"/>
      <c r="J7" s="21">
        <f t="shared" ref="J7:J9" si="0">IF(E7 = "Yes",4,0)</f>
        <v>4</v>
      </c>
      <c r="K7" s="173" t="s">
        <v>7</v>
      </c>
      <c r="L7" s="87"/>
      <c r="M7" s="87"/>
      <c r="N7" s="87"/>
      <c r="O7" s="88"/>
      <c r="P7" s="21">
        <f t="shared" ref="P7:P9" si="1">IF(K7 = "Yes",4,0)</f>
        <v>4</v>
      </c>
      <c r="Q7" s="14"/>
      <c r="R7" s="15"/>
      <c r="S7" s="15"/>
      <c r="T7" s="15"/>
      <c r="U7" s="15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</row>
    <row r="8" spans="1:93" s="13" customFormat="1" ht="17.399999999999999" x14ac:dyDescent="0.25">
      <c r="A8" s="38"/>
      <c r="B8" s="111"/>
      <c r="C8" s="111"/>
      <c r="D8" s="25" t="s">
        <v>48</v>
      </c>
      <c r="E8" s="173" t="s">
        <v>7</v>
      </c>
      <c r="F8" s="87"/>
      <c r="G8" s="87"/>
      <c r="H8" s="87"/>
      <c r="I8" s="88"/>
      <c r="J8" s="21">
        <f t="shared" si="0"/>
        <v>4</v>
      </c>
      <c r="K8" s="173" t="s">
        <v>7</v>
      </c>
      <c r="L8" s="87"/>
      <c r="M8" s="87"/>
      <c r="N8" s="87"/>
      <c r="O8" s="88"/>
      <c r="P8" s="21">
        <f t="shared" si="1"/>
        <v>4</v>
      </c>
      <c r="Q8" s="14"/>
      <c r="R8" s="15"/>
      <c r="S8" s="15"/>
      <c r="T8" s="15"/>
      <c r="U8" s="15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</row>
    <row r="9" spans="1:93" s="13" customFormat="1" ht="17.399999999999999" x14ac:dyDescent="0.25">
      <c r="A9" s="38"/>
      <c r="B9" s="111"/>
      <c r="C9" s="111"/>
      <c r="D9" s="25" t="s">
        <v>59</v>
      </c>
      <c r="E9" s="173" t="s">
        <v>7</v>
      </c>
      <c r="F9" s="87"/>
      <c r="G9" s="87"/>
      <c r="H9" s="87"/>
      <c r="I9" s="88"/>
      <c r="J9" s="21">
        <f t="shared" si="0"/>
        <v>4</v>
      </c>
      <c r="K9" s="173" t="s">
        <v>7</v>
      </c>
      <c r="L9" s="87"/>
      <c r="M9" s="87"/>
      <c r="N9" s="87"/>
      <c r="O9" s="88"/>
      <c r="P9" s="21">
        <f t="shared" si="1"/>
        <v>4</v>
      </c>
      <c r="Q9" s="14"/>
      <c r="R9" s="15"/>
      <c r="S9" s="15"/>
      <c r="T9" s="15"/>
      <c r="U9" s="15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</row>
    <row r="10" spans="1:93" s="13" customFormat="1" ht="17.399999999999999" x14ac:dyDescent="0.4">
      <c r="A10" s="38"/>
      <c r="C10" s="22"/>
      <c r="D10" s="10"/>
      <c r="E10" s="78"/>
      <c r="F10" s="78"/>
      <c r="G10" s="78"/>
      <c r="H10" s="78"/>
      <c r="I10" s="78"/>
      <c r="J10" s="20"/>
      <c r="K10" s="79"/>
      <c r="L10" s="79"/>
      <c r="M10" s="79"/>
      <c r="N10" s="79"/>
      <c r="O10" s="79"/>
      <c r="P10" s="20"/>
      <c r="Q10" s="14"/>
      <c r="R10" s="15"/>
      <c r="S10" s="15"/>
      <c r="T10" s="15"/>
      <c r="U10" s="15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</row>
    <row r="11" spans="1:93" s="13" customFormat="1" ht="19.05" customHeight="1" x14ac:dyDescent="0.25">
      <c r="A11" s="149"/>
      <c r="B11" s="150" t="s">
        <v>55</v>
      </c>
      <c r="C11" s="151"/>
      <c r="D11" s="152" t="s">
        <v>23</v>
      </c>
      <c r="E11" s="153">
        <f>SUM(J12:J15)</f>
        <v>13</v>
      </c>
      <c r="F11" s="154"/>
      <c r="G11" s="154"/>
      <c r="H11" s="154"/>
      <c r="I11" s="155"/>
      <c r="J11" s="156"/>
      <c r="K11" s="153">
        <f>SUM(P12:P15)</f>
        <v>13</v>
      </c>
      <c r="L11" s="154"/>
      <c r="M11" s="154"/>
      <c r="N11" s="154"/>
      <c r="O11" s="155"/>
      <c r="P11" s="156"/>
      <c r="Q11" s="153"/>
      <c r="R11" s="154"/>
      <c r="S11" s="154"/>
      <c r="T11" s="154"/>
      <c r="U11" s="155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</row>
    <row r="12" spans="1:93" s="13" customFormat="1" ht="17.399999999999999" x14ac:dyDescent="0.25">
      <c r="A12" s="149"/>
      <c r="B12" s="157"/>
      <c r="C12" s="158"/>
      <c r="D12" s="159" t="s">
        <v>43</v>
      </c>
      <c r="E12" s="160" t="s">
        <v>7</v>
      </c>
      <c r="F12" s="154"/>
      <c r="G12" s="154"/>
      <c r="H12" s="154"/>
      <c r="I12" s="155"/>
      <c r="J12" s="161">
        <f>IF(E12 = "Yes",3,0)</f>
        <v>3</v>
      </c>
      <c r="K12" s="160" t="s">
        <v>7</v>
      </c>
      <c r="L12" s="154"/>
      <c r="M12" s="154"/>
      <c r="N12" s="154"/>
      <c r="O12" s="155"/>
      <c r="P12" s="161">
        <f>IF(K12 = "Yes",3,0)</f>
        <v>3</v>
      </c>
      <c r="Q12" s="162"/>
      <c r="R12" s="163"/>
      <c r="S12" s="163"/>
      <c r="T12" s="163"/>
      <c r="U12" s="163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</row>
    <row r="13" spans="1:93" s="13" customFormat="1" ht="34.799999999999997" x14ac:dyDescent="0.25">
      <c r="A13" s="149"/>
      <c r="B13" s="157"/>
      <c r="C13" s="158"/>
      <c r="D13" s="159" t="s">
        <v>58</v>
      </c>
      <c r="E13" s="160" t="s">
        <v>7</v>
      </c>
      <c r="F13" s="154"/>
      <c r="G13" s="154"/>
      <c r="H13" s="154"/>
      <c r="I13" s="155"/>
      <c r="J13" s="161">
        <f>IF(E13 = "Yes",1,0)</f>
        <v>1</v>
      </c>
      <c r="K13" s="160" t="s">
        <v>7</v>
      </c>
      <c r="L13" s="154"/>
      <c r="M13" s="154"/>
      <c r="N13" s="154"/>
      <c r="O13" s="155"/>
      <c r="P13" s="161">
        <f>IF(K13 = "Yes",1,0)</f>
        <v>1</v>
      </c>
      <c r="Q13" s="162"/>
      <c r="R13" s="163"/>
      <c r="S13" s="163"/>
      <c r="T13" s="163"/>
      <c r="U13" s="163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</row>
    <row r="14" spans="1:93" s="13" customFormat="1" ht="17.399999999999999" x14ac:dyDescent="0.25">
      <c r="A14" s="149"/>
      <c r="B14" s="157"/>
      <c r="C14" s="158"/>
      <c r="D14" s="159" t="s">
        <v>22</v>
      </c>
      <c r="E14" s="160" t="s">
        <v>7</v>
      </c>
      <c r="F14" s="154"/>
      <c r="G14" s="154"/>
      <c r="H14" s="154"/>
      <c r="I14" s="155"/>
      <c r="J14" s="161">
        <f t="shared" ref="J14" si="2">IF(E14 = "Yes",4,0)</f>
        <v>4</v>
      </c>
      <c r="K14" s="160" t="s">
        <v>7</v>
      </c>
      <c r="L14" s="154"/>
      <c r="M14" s="154"/>
      <c r="N14" s="154"/>
      <c r="O14" s="155"/>
      <c r="P14" s="161">
        <f t="shared" ref="P14" si="3">IF(K14 = "Yes",4,0)</f>
        <v>4</v>
      </c>
      <c r="Q14" s="162"/>
      <c r="R14" s="163"/>
      <c r="S14" s="163"/>
      <c r="T14" s="163"/>
      <c r="U14" s="163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</row>
    <row r="15" spans="1:93" s="13" customFormat="1" ht="17.399999999999999" x14ac:dyDescent="0.25">
      <c r="A15" s="149"/>
      <c r="B15" s="164"/>
      <c r="C15" s="165"/>
      <c r="D15" s="159" t="s">
        <v>25</v>
      </c>
      <c r="E15" s="160" t="s">
        <v>7</v>
      </c>
      <c r="F15" s="154"/>
      <c r="G15" s="154"/>
      <c r="H15" s="154"/>
      <c r="I15" s="155"/>
      <c r="J15" s="161">
        <f>IF(E15 = "Yes",5,0)</f>
        <v>5</v>
      </c>
      <c r="K15" s="160" t="s">
        <v>7</v>
      </c>
      <c r="L15" s="154"/>
      <c r="M15" s="154"/>
      <c r="N15" s="154"/>
      <c r="O15" s="155"/>
      <c r="P15" s="161">
        <f>IF(K15 = "Yes",5,0)</f>
        <v>5</v>
      </c>
      <c r="Q15" s="162"/>
      <c r="R15" s="163"/>
      <c r="S15" s="163"/>
      <c r="T15" s="163"/>
      <c r="U15" s="163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</row>
    <row r="16" spans="1:93" s="13" customFormat="1" ht="17.399999999999999" x14ac:dyDescent="0.4">
      <c r="A16" s="38"/>
      <c r="C16" s="23"/>
      <c r="D16" s="18"/>
      <c r="E16" s="119"/>
      <c r="F16" s="119"/>
      <c r="G16" s="119"/>
      <c r="H16" s="119"/>
      <c r="I16" s="119"/>
      <c r="J16" s="20"/>
      <c r="K16" s="120"/>
      <c r="L16" s="120"/>
      <c r="M16" s="120"/>
      <c r="N16" s="120"/>
      <c r="O16" s="120"/>
      <c r="P16" s="120"/>
      <c r="Q16" s="14"/>
      <c r="R16" s="15"/>
      <c r="S16" s="15"/>
      <c r="T16" s="15"/>
      <c r="U16" s="15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</row>
    <row r="17" spans="1:93" s="13" customFormat="1" ht="19.05" customHeight="1" x14ac:dyDescent="0.25">
      <c r="A17" s="38"/>
      <c r="B17" s="80" t="s">
        <v>55</v>
      </c>
      <c r="C17" s="81"/>
      <c r="D17" s="24" t="s">
        <v>11</v>
      </c>
      <c r="E17" s="86">
        <f>SUM(J18:J20)</f>
        <v>13</v>
      </c>
      <c r="F17" s="87"/>
      <c r="G17" s="87"/>
      <c r="H17" s="87"/>
      <c r="I17" s="88"/>
      <c r="J17" s="20"/>
      <c r="K17" s="86">
        <f>SUM(P18:P20)</f>
        <v>13</v>
      </c>
      <c r="L17" s="87"/>
      <c r="M17" s="87"/>
      <c r="N17" s="87"/>
      <c r="O17" s="88"/>
      <c r="P17" s="20"/>
      <c r="Q17" s="86"/>
      <c r="R17" s="87"/>
      <c r="S17" s="87"/>
      <c r="T17" s="87"/>
      <c r="U17" s="8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</row>
    <row r="18" spans="1:93" s="13" customFormat="1" ht="17.399999999999999" x14ac:dyDescent="0.25">
      <c r="A18" s="38"/>
      <c r="B18" s="82"/>
      <c r="C18" s="83"/>
      <c r="D18" s="25" t="s">
        <v>79</v>
      </c>
      <c r="E18" s="173" t="s">
        <v>7</v>
      </c>
      <c r="F18" s="87"/>
      <c r="G18" s="87"/>
      <c r="H18" s="87"/>
      <c r="I18" s="88"/>
      <c r="J18" s="21">
        <f t="shared" ref="J18:J19" si="4">IF(E18 = "Yes",4,0)</f>
        <v>4</v>
      </c>
      <c r="K18" s="173" t="s">
        <v>7</v>
      </c>
      <c r="L18" s="87"/>
      <c r="M18" s="87"/>
      <c r="N18" s="87"/>
      <c r="O18" s="88"/>
      <c r="P18" s="21">
        <f t="shared" ref="P18:P19" si="5">IF(K18 = "Yes",4,0)</f>
        <v>4</v>
      </c>
      <c r="Q18" s="14"/>
      <c r="R18" s="15"/>
      <c r="S18" s="15"/>
      <c r="T18" s="15"/>
      <c r="U18" s="15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</row>
    <row r="19" spans="1:93" s="13" customFormat="1" ht="34.799999999999997" x14ac:dyDescent="0.25">
      <c r="A19" s="38"/>
      <c r="B19" s="82"/>
      <c r="C19" s="83"/>
      <c r="D19" s="25" t="s">
        <v>57</v>
      </c>
      <c r="E19" s="173" t="s">
        <v>7</v>
      </c>
      <c r="F19" s="87"/>
      <c r="G19" s="87"/>
      <c r="H19" s="87"/>
      <c r="I19" s="88"/>
      <c r="J19" s="21">
        <f t="shared" si="4"/>
        <v>4</v>
      </c>
      <c r="K19" s="173" t="s">
        <v>7</v>
      </c>
      <c r="L19" s="87"/>
      <c r="M19" s="87"/>
      <c r="N19" s="87"/>
      <c r="O19" s="88"/>
      <c r="P19" s="21">
        <f t="shared" si="5"/>
        <v>4</v>
      </c>
      <c r="Q19" s="14"/>
      <c r="R19" s="15"/>
      <c r="S19" s="15"/>
      <c r="T19" s="15"/>
      <c r="U19" s="15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</row>
    <row r="20" spans="1:93" s="13" customFormat="1" ht="17.399999999999999" x14ac:dyDescent="0.25">
      <c r="A20" s="38"/>
      <c r="B20" s="84"/>
      <c r="C20" s="85"/>
      <c r="D20" s="25" t="s">
        <v>21</v>
      </c>
      <c r="E20" s="173" t="s">
        <v>7</v>
      </c>
      <c r="F20" s="87"/>
      <c r="G20" s="87"/>
      <c r="H20" s="87"/>
      <c r="I20" s="88"/>
      <c r="J20" s="21">
        <f>IF(E20 = "Yes",5,0)</f>
        <v>5</v>
      </c>
      <c r="K20" s="173" t="s">
        <v>7</v>
      </c>
      <c r="L20" s="87"/>
      <c r="M20" s="87"/>
      <c r="N20" s="87"/>
      <c r="O20" s="88"/>
      <c r="P20" s="21">
        <f>IF(K20 = "Yes",5,0)</f>
        <v>5</v>
      </c>
      <c r="Q20" s="14"/>
      <c r="R20" s="15"/>
      <c r="S20" s="15"/>
      <c r="T20" s="15"/>
      <c r="U20" s="15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</row>
    <row r="21" spans="1:93" s="13" customFormat="1" ht="17.399999999999999" x14ac:dyDescent="0.4">
      <c r="A21" s="38"/>
      <c r="C21" s="23"/>
      <c r="D21" s="19"/>
      <c r="E21" s="112"/>
      <c r="F21" s="112"/>
      <c r="G21" s="112"/>
      <c r="H21" s="112"/>
      <c r="I21" s="112"/>
      <c r="J21" s="21"/>
      <c r="K21" s="79"/>
      <c r="L21" s="79"/>
      <c r="M21" s="79"/>
      <c r="N21" s="79"/>
      <c r="O21" s="79"/>
      <c r="P21" s="21"/>
      <c r="Q21" s="14"/>
      <c r="R21" s="15"/>
      <c r="S21" s="15"/>
      <c r="T21" s="15"/>
      <c r="U21" s="15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</row>
    <row r="22" spans="1:93" s="13" customFormat="1" ht="19.05" customHeight="1" x14ac:dyDescent="0.25">
      <c r="A22" s="149"/>
      <c r="B22" s="150" t="s">
        <v>55</v>
      </c>
      <c r="C22" s="151"/>
      <c r="D22" s="152" t="s">
        <v>15</v>
      </c>
      <c r="E22" s="153">
        <f>SUM(J23:J25)</f>
        <v>12</v>
      </c>
      <c r="F22" s="154"/>
      <c r="G22" s="154"/>
      <c r="H22" s="154"/>
      <c r="I22" s="155"/>
      <c r="J22" s="156"/>
      <c r="K22" s="153">
        <f>SUM(P23:P25)</f>
        <v>12</v>
      </c>
      <c r="L22" s="154"/>
      <c r="M22" s="154"/>
      <c r="N22" s="154"/>
      <c r="O22" s="155"/>
      <c r="P22" s="156"/>
      <c r="Q22" s="153"/>
      <c r="R22" s="154"/>
      <c r="S22" s="154"/>
      <c r="T22" s="154"/>
      <c r="U22" s="155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</row>
    <row r="23" spans="1:93" s="13" customFormat="1" ht="17.399999999999999" x14ac:dyDescent="0.25">
      <c r="A23" s="149"/>
      <c r="B23" s="157"/>
      <c r="C23" s="158"/>
      <c r="D23" s="159" t="s">
        <v>19</v>
      </c>
      <c r="E23" s="160" t="s">
        <v>7</v>
      </c>
      <c r="F23" s="154"/>
      <c r="G23" s="154"/>
      <c r="H23" s="154"/>
      <c r="I23" s="155"/>
      <c r="J23" s="161">
        <f t="shared" ref="J23:J25" si="6">IF(E23 = "Yes",4,0)</f>
        <v>4</v>
      </c>
      <c r="K23" s="160" t="s">
        <v>7</v>
      </c>
      <c r="L23" s="154"/>
      <c r="M23" s="154"/>
      <c r="N23" s="154"/>
      <c r="O23" s="155"/>
      <c r="P23" s="161">
        <f t="shared" ref="P23:P25" si="7">IF(K23 = "Yes",4,0)</f>
        <v>4</v>
      </c>
      <c r="Q23" s="162"/>
      <c r="R23" s="163"/>
      <c r="S23" s="163"/>
      <c r="T23" s="163"/>
      <c r="U23" s="163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</row>
    <row r="24" spans="1:93" s="13" customFormat="1" ht="17.399999999999999" x14ac:dyDescent="0.25">
      <c r="A24" s="149"/>
      <c r="B24" s="157"/>
      <c r="C24" s="158"/>
      <c r="D24" s="159" t="s">
        <v>20</v>
      </c>
      <c r="E24" s="160" t="s">
        <v>7</v>
      </c>
      <c r="F24" s="154"/>
      <c r="G24" s="154"/>
      <c r="H24" s="154"/>
      <c r="I24" s="155"/>
      <c r="J24" s="161">
        <f t="shared" si="6"/>
        <v>4</v>
      </c>
      <c r="K24" s="160" t="s">
        <v>7</v>
      </c>
      <c r="L24" s="154"/>
      <c r="M24" s="154"/>
      <c r="N24" s="154"/>
      <c r="O24" s="155"/>
      <c r="P24" s="161">
        <f t="shared" si="7"/>
        <v>4</v>
      </c>
      <c r="Q24" s="162"/>
      <c r="R24" s="163"/>
      <c r="S24" s="163"/>
      <c r="T24" s="163"/>
      <c r="U24" s="163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</row>
    <row r="25" spans="1:93" s="13" customFormat="1" ht="17.399999999999999" x14ac:dyDescent="0.25">
      <c r="A25" s="149"/>
      <c r="B25" s="164"/>
      <c r="C25" s="165"/>
      <c r="D25" s="159" t="s">
        <v>24</v>
      </c>
      <c r="E25" s="160" t="s">
        <v>7</v>
      </c>
      <c r="F25" s="154"/>
      <c r="G25" s="154"/>
      <c r="H25" s="154"/>
      <c r="I25" s="155"/>
      <c r="J25" s="161">
        <f t="shared" si="6"/>
        <v>4</v>
      </c>
      <c r="K25" s="160" t="s">
        <v>7</v>
      </c>
      <c r="L25" s="154"/>
      <c r="M25" s="154"/>
      <c r="N25" s="154"/>
      <c r="O25" s="155"/>
      <c r="P25" s="161">
        <f t="shared" si="7"/>
        <v>4</v>
      </c>
      <c r="Q25" s="162"/>
      <c r="R25" s="163"/>
      <c r="S25" s="163"/>
      <c r="T25" s="163"/>
      <c r="U25" s="163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</row>
    <row r="26" spans="1:93" s="13" customFormat="1" ht="17.399999999999999" x14ac:dyDescent="0.4">
      <c r="A26" s="38"/>
      <c r="C26" s="23"/>
      <c r="D26" s="19"/>
      <c r="E26" s="112"/>
      <c r="F26" s="112"/>
      <c r="G26" s="112"/>
      <c r="H26" s="112"/>
      <c r="I26" s="112"/>
      <c r="J26" s="21"/>
      <c r="K26" s="79"/>
      <c r="L26" s="79"/>
      <c r="M26" s="79"/>
      <c r="N26" s="79"/>
      <c r="O26" s="79"/>
      <c r="P26" s="21"/>
      <c r="Q26" s="14"/>
      <c r="R26" s="15"/>
      <c r="S26" s="15"/>
      <c r="T26" s="15"/>
      <c r="U26" s="15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</row>
    <row r="27" spans="1:93" s="13" customFormat="1" ht="17.399999999999999" x14ac:dyDescent="0.25">
      <c r="A27" s="38"/>
      <c r="B27" s="121" t="s">
        <v>56</v>
      </c>
      <c r="C27" s="111" t="s">
        <v>55</v>
      </c>
      <c r="D27" s="24" t="s">
        <v>16</v>
      </c>
      <c r="E27" s="86">
        <f>SUM(J28:J30)</f>
        <v>12</v>
      </c>
      <c r="F27" s="87"/>
      <c r="G27" s="87"/>
      <c r="H27" s="87"/>
      <c r="I27" s="88"/>
      <c r="J27" s="20"/>
      <c r="K27" s="86">
        <f>SUM(P28:P30)</f>
        <v>12</v>
      </c>
      <c r="L27" s="87"/>
      <c r="M27" s="87"/>
      <c r="N27" s="87"/>
      <c r="O27" s="88"/>
      <c r="P27" s="20"/>
      <c r="Q27" s="86"/>
      <c r="R27" s="87"/>
      <c r="S27" s="87"/>
      <c r="T27" s="87"/>
      <c r="U27" s="8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</row>
    <row r="28" spans="1:93" s="13" customFormat="1" ht="34.799999999999997" x14ac:dyDescent="0.25">
      <c r="A28" s="38"/>
      <c r="B28" s="121"/>
      <c r="C28" s="111"/>
      <c r="D28" s="25" t="s">
        <v>82</v>
      </c>
      <c r="E28" s="173" t="s">
        <v>7</v>
      </c>
      <c r="F28" s="87"/>
      <c r="G28" s="87"/>
      <c r="H28" s="87"/>
      <c r="I28" s="88"/>
      <c r="J28" s="21">
        <f t="shared" ref="J28:J30" si="8">IF(E28 = "Yes",4,0)</f>
        <v>4</v>
      </c>
      <c r="K28" s="173" t="s">
        <v>7</v>
      </c>
      <c r="L28" s="87"/>
      <c r="M28" s="87"/>
      <c r="N28" s="87"/>
      <c r="O28" s="88"/>
      <c r="P28" s="21">
        <f t="shared" ref="P28:P30" si="9">IF(K28 = "Yes",4,0)</f>
        <v>4</v>
      </c>
      <c r="Q28" s="14"/>
      <c r="R28" s="15"/>
      <c r="S28" s="15"/>
      <c r="T28" s="15"/>
      <c r="U28" s="15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</row>
    <row r="29" spans="1:93" s="13" customFormat="1" ht="17.399999999999999" x14ac:dyDescent="0.25">
      <c r="A29" s="38"/>
      <c r="B29" s="121"/>
      <c r="C29" s="111"/>
      <c r="D29" s="25" t="s">
        <v>49</v>
      </c>
      <c r="E29" s="173" t="s">
        <v>7</v>
      </c>
      <c r="F29" s="87"/>
      <c r="G29" s="87"/>
      <c r="H29" s="87"/>
      <c r="I29" s="88"/>
      <c r="J29" s="21">
        <f t="shared" si="8"/>
        <v>4</v>
      </c>
      <c r="K29" s="173" t="s">
        <v>7</v>
      </c>
      <c r="L29" s="87"/>
      <c r="M29" s="87"/>
      <c r="N29" s="87"/>
      <c r="O29" s="88"/>
      <c r="P29" s="21">
        <f t="shared" si="9"/>
        <v>4</v>
      </c>
      <c r="Q29" s="14"/>
      <c r="R29" s="15"/>
      <c r="S29" s="15"/>
      <c r="T29" s="15"/>
      <c r="U29" s="15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</row>
    <row r="30" spans="1:93" s="13" customFormat="1" ht="17.399999999999999" x14ac:dyDescent="0.25">
      <c r="A30" s="38"/>
      <c r="B30" s="121"/>
      <c r="C30" s="111"/>
      <c r="D30" s="25" t="s">
        <v>51</v>
      </c>
      <c r="E30" s="173" t="s">
        <v>7</v>
      </c>
      <c r="F30" s="87"/>
      <c r="G30" s="87"/>
      <c r="H30" s="87"/>
      <c r="I30" s="88"/>
      <c r="J30" s="21">
        <f t="shared" si="8"/>
        <v>4</v>
      </c>
      <c r="K30" s="173" t="s">
        <v>7</v>
      </c>
      <c r="L30" s="87"/>
      <c r="M30" s="87"/>
      <c r="N30" s="87"/>
      <c r="O30" s="88"/>
      <c r="P30" s="21">
        <f t="shared" si="9"/>
        <v>4</v>
      </c>
      <c r="Q30" s="14"/>
      <c r="R30" s="15"/>
      <c r="S30" s="15"/>
      <c r="T30" s="15"/>
      <c r="U30" s="15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</row>
    <row r="31" spans="1:93" s="13" customFormat="1" ht="17.399999999999999" x14ac:dyDescent="0.4">
      <c r="A31" s="38"/>
      <c r="C31" s="23"/>
      <c r="D31" s="19"/>
      <c r="E31" s="112"/>
      <c r="F31" s="112"/>
      <c r="G31" s="112"/>
      <c r="H31" s="112"/>
      <c r="I31" s="112"/>
      <c r="J31" s="21"/>
      <c r="K31" s="79"/>
      <c r="L31" s="79"/>
      <c r="M31" s="79"/>
      <c r="N31" s="79"/>
      <c r="O31" s="79"/>
      <c r="P31" s="21"/>
      <c r="Q31" s="14"/>
      <c r="R31" s="15"/>
      <c r="S31" s="15"/>
      <c r="T31" s="15"/>
      <c r="U31" s="15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</row>
    <row r="32" spans="1:93" s="13" customFormat="1" ht="19.05" customHeight="1" x14ac:dyDescent="0.25">
      <c r="A32" s="38"/>
      <c r="B32" s="121" t="s">
        <v>56</v>
      </c>
      <c r="C32" s="121"/>
      <c r="D32" s="24" t="s">
        <v>12</v>
      </c>
      <c r="E32" s="86">
        <f>SUM(J33:J36)</f>
        <v>13</v>
      </c>
      <c r="F32" s="87"/>
      <c r="G32" s="87"/>
      <c r="H32" s="87"/>
      <c r="I32" s="88"/>
      <c r="J32" s="20"/>
      <c r="K32" s="86">
        <f>SUM(P33:P36)</f>
        <v>13</v>
      </c>
      <c r="L32" s="87"/>
      <c r="M32" s="87"/>
      <c r="N32" s="87"/>
      <c r="O32" s="88"/>
      <c r="P32" s="20"/>
      <c r="Q32" s="86"/>
      <c r="R32" s="87"/>
      <c r="S32" s="87"/>
      <c r="T32" s="87"/>
      <c r="U32" s="8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</row>
    <row r="33" spans="1:93" s="13" customFormat="1" ht="17.399999999999999" x14ac:dyDescent="0.25">
      <c r="A33" s="38"/>
      <c r="B33" s="121"/>
      <c r="C33" s="121"/>
      <c r="D33" s="25" t="s">
        <v>44</v>
      </c>
      <c r="E33" s="173" t="s">
        <v>7</v>
      </c>
      <c r="F33" s="87"/>
      <c r="G33" s="87"/>
      <c r="H33" s="87"/>
      <c r="I33" s="88"/>
      <c r="J33" s="21">
        <f t="shared" ref="J33:J35" si="10">IF(E33 = "Yes",3,0)</f>
        <v>3</v>
      </c>
      <c r="K33" s="173" t="s">
        <v>7</v>
      </c>
      <c r="L33" s="87"/>
      <c r="M33" s="87"/>
      <c r="N33" s="87"/>
      <c r="O33" s="88"/>
      <c r="P33" s="21">
        <f t="shared" ref="P33:P35" si="11">IF(K33 = "Yes",3,0)</f>
        <v>3</v>
      </c>
      <c r="Q33" s="14"/>
      <c r="R33" s="15"/>
      <c r="S33" s="15"/>
      <c r="T33" s="15"/>
      <c r="U33" s="15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</row>
    <row r="34" spans="1:93" s="13" customFormat="1" ht="17.399999999999999" x14ac:dyDescent="0.25">
      <c r="A34" s="38"/>
      <c r="B34" s="121"/>
      <c r="C34" s="121"/>
      <c r="D34" s="25" t="s">
        <v>17</v>
      </c>
      <c r="E34" s="173" t="s">
        <v>7</v>
      </c>
      <c r="F34" s="87"/>
      <c r="G34" s="87"/>
      <c r="H34" s="87"/>
      <c r="I34" s="88"/>
      <c r="J34" s="21">
        <f t="shared" si="10"/>
        <v>3</v>
      </c>
      <c r="K34" s="173" t="s">
        <v>7</v>
      </c>
      <c r="L34" s="87"/>
      <c r="M34" s="87"/>
      <c r="N34" s="87"/>
      <c r="O34" s="88"/>
      <c r="P34" s="21">
        <f t="shared" si="11"/>
        <v>3</v>
      </c>
      <c r="Q34" s="14"/>
      <c r="R34" s="15"/>
      <c r="S34" s="15"/>
      <c r="T34" s="15"/>
      <c r="U34" s="15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</row>
    <row r="35" spans="1:93" s="13" customFormat="1" ht="17.399999999999999" x14ac:dyDescent="0.25">
      <c r="A35" s="38"/>
      <c r="B35" s="121"/>
      <c r="C35" s="121"/>
      <c r="D35" s="25" t="s">
        <v>45</v>
      </c>
      <c r="E35" s="173" t="s">
        <v>7</v>
      </c>
      <c r="F35" s="87"/>
      <c r="G35" s="87"/>
      <c r="H35" s="87"/>
      <c r="I35" s="88"/>
      <c r="J35" s="21">
        <f t="shared" si="10"/>
        <v>3</v>
      </c>
      <c r="K35" s="173" t="s">
        <v>7</v>
      </c>
      <c r="L35" s="87"/>
      <c r="M35" s="87"/>
      <c r="N35" s="87"/>
      <c r="O35" s="88"/>
      <c r="P35" s="21">
        <f t="shared" si="11"/>
        <v>3</v>
      </c>
      <c r="Q35" s="14"/>
      <c r="R35" s="15"/>
      <c r="S35" s="15"/>
      <c r="T35" s="15"/>
      <c r="U35" s="15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</row>
    <row r="36" spans="1:93" s="13" customFormat="1" ht="17.399999999999999" x14ac:dyDescent="0.25">
      <c r="A36" s="38"/>
      <c r="B36" s="121"/>
      <c r="C36" s="121"/>
      <c r="D36" s="25" t="s">
        <v>18</v>
      </c>
      <c r="E36" s="173" t="s">
        <v>7</v>
      </c>
      <c r="F36" s="87"/>
      <c r="G36" s="87"/>
      <c r="H36" s="87"/>
      <c r="I36" s="88"/>
      <c r="J36" s="21">
        <f>IF(E36 = "Yes",4,0)</f>
        <v>4</v>
      </c>
      <c r="K36" s="173" t="s">
        <v>7</v>
      </c>
      <c r="L36" s="87"/>
      <c r="M36" s="87"/>
      <c r="N36" s="87"/>
      <c r="O36" s="88"/>
      <c r="P36" s="21">
        <f>IF(K36 = "Yes",4,0)</f>
        <v>4</v>
      </c>
      <c r="Q36" s="14"/>
      <c r="R36" s="15"/>
      <c r="S36" s="15"/>
      <c r="T36" s="15"/>
      <c r="U36" s="15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</row>
    <row r="37" spans="1:93" s="13" customFormat="1" ht="17.399999999999999" x14ac:dyDescent="0.4">
      <c r="A37" s="38"/>
      <c r="C37" s="23"/>
      <c r="D37" s="120"/>
      <c r="E37" s="120"/>
      <c r="F37" s="120"/>
      <c r="G37" s="120"/>
      <c r="H37" s="120"/>
      <c r="I37" s="120"/>
      <c r="J37" s="20"/>
      <c r="K37" s="120"/>
      <c r="L37" s="120"/>
      <c r="M37" s="120"/>
      <c r="N37" s="120"/>
      <c r="O37" s="120"/>
      <c r="P37" s="120"/>
      <c r="Q37" s="14"/>
      <c r="R37" s="15"/>
      <c r="S37" s="15"/>
      <c r="T37" s="15"/>
      <c r="U37" s="15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</row>
    <row r="38" spans="1:93" s="13" customFormat="1" ht="19.05" customHeight="1" x14ac:dyDescent="0.25">
      <c r="A38" s="38"/>
      <c r="B38" s="121" t="s">
        <v>56</v>
      </c>
      <c r="C38" s="121"/>
      <c r="D38" s="24" t="s">
        <v>13</v>
      </c>
      <c r="E38" s="86">
        <f>SUM(J39:J41)</f>
        <v>13</v>
      </c>
      <c r="F38" s="87"/>
      <c r="G38" s="87"/>
      <c r="H38" s="87"/>
      <c r="I38" s="88"/>
      <c r="J38" s="20"/>
      <c r="K38" s="86">
        <f>SUM(P39:P41)</f>
        <v>13</v>
      </c>
      <c r="L38" s="87"/>
      <c r="M38" s="87"/>
      <c r="N38" s="87"/>
      <c r="O38" s="88"/>
      <c r="P38" s="20"/>
      <c r="Q38" s="86"/>
      <c r="R38" s="87"/>
      <c r="S38" s="87"/>
      <c r="T38" s="87"/>
      <c r="U38" s="8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</row>
    <row r="39" spans="1:93" s="13" customFormat="1" ht="17.399999999999999" x14ac:dyDescent="0.25">
      <c r="A39" s="38"/>
      <c r="B39" s="121"/>
      <c r="C39" s="121"/>
      <c r="D39" s="25" t="s">
        <v>54</v>
      </c>
      <c r="E39" s="173" t="s">
        <v>7</v>
      </c>
      <c r="F39" s="87"/>
      <c r="G39" s="87"/>
      <c r="H39" s="87"/>
      <c r="I39" s="88"/>
      <c r="J39" s="21">
        <f t="shared" ref="J39:J40" si="12">IF(E39 = "Yes",4,0)</f>
        <v>4</v>
      </c>
      <c r="K39" s="173" t="s">
        <v>7</v>
      </c>
      <c r="L39" s="87"/>
      <c r="M39" s="87"/>
      <c r="N39" s="87"/>
      <c r="O39" s="88"/>
      <c r="P39" s="21">
        <f t="shared" ref="P39:P40" si="13">IF(K39 = "Yes",4,0)</f>
        <v>4</v>
      </c>
      <c r="Q39" s="14"/>
      <c r="R39" s="15"/>
      <c r="S39" s="15"/>
      <c r="T39" s="15"/>
      <c r="U39" s="15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</row>
    <row r="40" spans="1:93" s="13" customFormat="1" ht="17.399999999999999" x14ac:dyDescent="0.25">
      <c r="A40" s="38"/>
      <c r="B40" s="121"/>
      <c r="C40" s="121"/>
      <c r="D40" s="25" t="s">
        <v>46</v>
      </c>
      <c r="E40" s="173" t="s">
        <v>7</v>
      </c>
      <c r="F40" s="87"/>
      <c r="G40" s="87"/>
      <c r="H40" s="87"/>
      <c r="I40" s="88"/>
      <c r="J40" s="21">
        <f t="shared" si="12"/>
        <v>4</v>
      </c>
      <c r="K40" s="173" t="s">
        <v>7</v>
      </c>
      <c r="L40" s="87"/>
      <c r="M40" s="87"/>
      <c r="N40" s="87"/>
      <c r="O40" s="88"/>
      <c r="P40" s="21">
        <f t="shared" si="13"/>
        <v>4</v>
      </c>
      <c r="Q40" s="14"/>
      <c r="R40" s="15"/>
      <c r="S40" s="15"/>
      <c r="T40" s="15"/>
      <c r="U40" s="15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</row>
    <row r="41" spans="1:93" s="13" customFormat="1" ht="17.399999999999999" x14ac:dyDescent="0.25">
      <c r="A41" s="38"/>
      <c r="B41" s="121"/>
      <c r="C41" s="121"/>
      <c r="D41" s="25" t="s">
        <v>53</v>
      </c>
      <c r="E41" s="173" t="s">
        <v>7</v>
      </c>
      <c r="F41" s="87"/>
      <c r="G41" s="87"/>
      <c r="H41" s="87"/>
      <c r="I41" s="88"/>
      <c r="J41" s="21">
        <f>IF(E41 = "Yes",5,0)</f>
        <v>5</v>
      </c>
      <c r="K41" s="173" t="s">
        <v>7</v>
      </c>
      <c r="L41" s="87"/>
      <c r="M41" s="87"/>
      <c r="N41" s="87"/>
      <c r="O41" s="88"/>
      <c r="P41" s="21">
        <f>IF(K41 = "Yes",5,0)</f>
        <v>5</v>
      </c>
      <c r="Q41" s="14"/>
      <c r="R41" s="15"/>
      <c r="S41" s="15"/>
      <c r="T41" s="15"/>
      <c r="U41" s="15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</row>
    <row r="42" spans="1:93" s="13" customFormat="1" ht="17.399999999999999" x14ac:dyDescent="0.4">
      <c r="A42" s="38"/>
      <c r="C42" s="23"/>
      <c r="D42" s="18"/>
      <c r="E42" s="119"/>
      <c r="F42" s="119"/>
      <c r="G42" s="119"/>
      <c r="H42" s="119"/>
      <c r="I42" s="119"/>
      <c r="J42" s="20"/>
      <c r="K42" s="120"/>
      <c r="L42" s="120"/>
      <c r="M42" s="120"/>
      <c r="N42" s="120"/>
      <c r="O42" s="120"/>
      <c r="P42" s="120"/>
      <c r="Q42" s="14"/>
      <c r="R42" s="15"/>
      <c r="S42" s="15"/>
      <c r="T42" s="15"/>
      <c r="U42" s="15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</row>
    <row r="43" spans="1:93" s="13" customFormat="1" ht="19.05" customHeight="1" x14ac:dyDescent="0.25">
      <c r="A43" s="149"/>
      <c r="B43" s="172" t="s">
        <v>56</v>
      </c>
      <c r="C43" s="172"/>
      <c r="D43" s="152" t="s">
        <v>14</v>
      </c>
      <c r="E43" s="153">
        <f>SUM(J44:J46)</f>
        <v>12</v>
      </c>
      <c r="F43" s="154"/>
      <c r="G43" s="154"/>
      <c r="H43" s="154"/>
      <c r="I43" s="155"/>
      <c r="J43" s="156"/>
      <c r="K43" s="153">
        <f>SUM(P44:P46)</f>
        <v>12</v>
      </c>
      <c r="L43" s="154"/>
      <c r="M43" s="154"/>
      <c r="N43" s="154"/>
      <c r="O43" s="155"/>
      <c r="P43" s="156"/>
      <c r="Q43" s="153"/>
      <c r="R43" s="154"/>
      <c r="S43" s="154"/>
      <c r="T43" s="154"/>
      <c r="U43" s="155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</row>
    <row r="44" spans="1:93" s="13" customFormat="1" ht="34.799999999999997" x14ac:dyDescent="0.25">
      <c r="A44" s="149"/>
      <c r="B44" s="172"/>
      <c r="C44" s="172"/>
      <c r="D44" s="159" t="s">
        <v>26</v>
      </c>
      <c r="E44" s="160" t="s">
        <v>7</v>
      </c>
      <c r="F44" s="154"/>
      <c r="G44" s="154"/>
      <c r="H44" s="154"/>
      <c r="I44" s="155"/>
      <c r="J44" s="161">
        <f t="shared" ref="J44:J45" si="14">IF(E44 = "Yes",4,0)</f>
        <v>4</v>
      </c>
      <c r="K44" s="160" t="s">
        <v>7</v>
      </c>
      <c r="L44" s="154"/>
      <c r="M44" s="154"/>
      <c r="N44" s="154"/>
      <c r="O44" s="155"/>
      <c r="P44" s="161">
        <f t="shared" ref="P44:P45" si="15">IF(K44 = "Yes",4,0)</f>
        <v>4</v>
      </c>
      <c r="Q44" s="162"/>
      <c r="R44" s="163"/>
      <c r="S44" s="163"/>
      <c r="T44" s="163"/>
      <c r="U44" s="163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</row>
    <row r="45" spans="1:93" s="13" customFormat="1" ht="34.799999999999997" x14ac:dyDescent="0.25">
      <c r="A45" s="149"/>
      <c r="B45" s="172"/>
      <c r="C45" s="172"/>
      <c r="D45" s="159" t="s">
        <v>47</v>
      </c>
      <c r="E45" s="160" t="s">
        <v>7</v>
      </c>
      <c r="F45" s="154"/>
      <c r="G45" s="154"/>
      <c r="H45" s="154"/>
      <c r="I45" s="155"/>
      <c r="J45" s="161">
        <f t="shared" si="14"/>
        <v>4</v>
      </c>
      <c r="K45" s="160" t="s">
        <v>7</v>
      </c>
      <c r="L45" s="154"/>
      <c r="M45" s="154"/>
      <c r="N45" s="154"/>
      <c r="O45" s="155"/>
      <c r="P45" s="161">
        <f t="shared" si="15"/>
        <v>4</v>
      </c>
      <c r="Q45" s="162"/>
      <c r="R45" s="163"/>
      <c r="S45" s="163"/>
      <c r="T45" s="163"/>
      <c r="U45" s="163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</row>
    <row r="46" spans="1:93" s="13" customFormat="1" ht="17.399999999999999" x14ac:dyDescent="0.25">
      <c r="A46" s="149"/>
      <c r="B46" s="172"/>
      <c r="C46" s="172"/>
      <c r="D46" s="159" t="s">
        <v>52</v>
      </c>
      <c r="E46" s="160" t="s">
        <v>7</v>
      </c>
      <c r="F46" s="154"/>
      <c r="G46" s="154"/>
      <c r="H46" s="154"/>
      <c r="I46" s="155"/>
      <c r="J46" s="161">
        <f>IF(E46 = "Yes",4,0)</f>
        <v>4</v>
      </c>
      <c r="K46" s="160" t="s">
        <v>7</v>
      </c>
      <c r="L46" s="154"/>
      <c r="M46" s="154"/>
      <c r="N46" s="154"/>
      <c r="O46" s="155"/>
      <c r="P46" s="161">
        <f>IF(K46 = "Yes",4,0)</f>
        <v>4</v>
      </c>
      <c r="Q46" s="162"/>
      <c r="R46" s="163"/>
      <c r="S46" s="163"/>
      <c r="T46" s="163"/>
      <c r="U46" s="163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</row>
    <row r="47" spans="1:93" s="38" customFormat="1" ht="17.399999999999999" x14ac:dyDescent="0.4">
      <c r="C47" s="43"/>
      <c r="D47" s="44"/>
      <c r="E47" s="44"/>
      <c r="F47" s="44"/>
      <c r="G47" s="44"/>
      <c r="H47" s="44"/>
      <c r="I47" s="44"/>
      <c r="J47" s="45"/>
      <c r="K47" s="122"/>
      <c r="L47" s="122"/>
      <c r="M47" s="122"/>
      <c r="N47" s="122"/>
      <c r="O47" s="122"/>
      <c r="P47" s="122"/>
      <c r="Q47" s="37"/>
      <c r="R47" s="40"/>
      <c r="S47" s="40"/>
      <c r="T47" s="40"/>
      <c r="U47" s="40"/>
    </row>
    <row r="48" spans="1:93" s="38" customFormat="1" ht="17.399999999999999" x14ac:dyDescent="0.4">
      <c r="C48" s="43"/>
      <c r="J48" s="46"/>
      <c r="P48" s="46"/>
      <c r="Q48" s="37"/>
      <c r="R48" s="40"/>
      <c r="S48" s="40"/>
      <c r="T48" s="40"/>
      <c r="U48" s="40"/>
    </row>
    <row r="49" spans="3:21" s="38" customFormat="1" ht="17.399999999999999" x14ac:dyDescent="0.4">
      <c r="C49" s="43"/>
      <c r="J49" s="46"/>
      <c r="P49" s="46"/>
      <c r="Q49" s="37"/>
      <c r="R49" s="40"/>
      <c r="S49" s="40"/>
      <c r="T49" s="40"/>
      <c r="U49" s="40"/>
    </row>
    <row r="50" spans="3:21" s="38" customFormat="1" ht="17.399999999999999" x14ac:dyDescent="0.4">
      <c r="C50" s="43"/>
      <c r="E50" s="123"/>
      <c r="F50" s="123"/>
      <c r="G50" s="123"/>
      <c r="H50" s="123"/>
      <c r="I50" s="123"/>
      <c r="J50" s="46"/>
      <c r="P50" s="46"/>
      <c r="Q50" s="37"/>
      <c r="R50" s="40"/>
      <c r="S50" s="40"/>
      <c r="T50" s="40"/>
      <c r="U50" s="40"/>
    </row>
    <row r="51" spans="3:21" s="38" customFormat="1" ht="17.399999999999999" x14ac:dyDescent="0.4">
      <c r="C51" s="43"/>
      <c r="J51" s="46"/>
      <c r="P51" s="46"/>
      <c r="Q51" s="37"/>
      <c r="R51" s="40"/>
      <c r="S51" s="40"/>
      <c r="T51" s="40"/>
      <c r="U51" s="40"/>
    </row>
    <row r="52" spans="3:21" s="37" customFormat="1" ht="15.75" customHeight="1" x14ac:dyDescent="0.35">
      <c r="D52" s="40"/>
      <c r="E52" s="34"/>
      <c r="F52" s="34"/>
      <c r="G52" s="34"/>
      <c r="H52" s="34"/>
      <c r="I52" s="34"/>
      <c r="J52" s="39"/>
      <c r="K52" s="34"/>
      <c r="L52" s="34"/>
      <c r="M52" s="34"/>
      <c r="N52" s="34"/>
      <c r="O52" s="34"/>
      <c r="P52" s="39"/>
      <c r="R52" s="40"/>
      <c r="S52" s="40"/>
      <c r="T52" s="40"/>
      <c r="U52" s="40"/>
    </row>
    <row r="53" spans="3:21" s="37" customFormat="1" ht="15.75" customHeight="1" x14ac:dyDescent="0.35">
      <c r="D53" s="40"/>
      <c r="E53" s="34"/>
      <c r="F53" s="34"/>
      <c r="G53" s="34"/>
      <c r="H53" s="34"/>
      <c r="I53" s="34"/>
      <c r="J53" s="39"/>
      <c r="K53" s="34"/>
      <c r="L53" s="34"/>
      <c r="M53" s="34"/>
      <c r="N53" s="34"/>
      <c r="O53" s="34"/>
      <c r="P53" s="39"/>
      <c r="R53" s="40"/>
      <c r="S53" s="40"/>
      <c r="T53" s="40"/>
      <c r="U53" s="40"/>
    </row>
    <row r="54" spans="3:21" s="37" customFormat="1" ht="15.75" customHeight="1" x14ac:dyDescent="0.35">
      <c r="D54" s="40"/>
      <c r="E54" s="34"/>
      <c r="F54" s="34"/>
      <c r="G54" s="34"/>
      <c r="H54" s="34"/>
      <c r="I54" s="34"/>
      <c r="J54" s="39"/>
      <c r="K54" s="34"/>
      <c r="L54" s="34"/>
      <c r="M54" s="34"/>
      <c r="N54" s="34"/>
      <c r="O54" s="34"/>
      <c r="P54" s="39"/>
      <c r="R54" s="40"/>
      <c r="S54" s="40"/>
      <c r="T54" s="40"/>
      <c r="U54" s="40"/>
    </row>
    <row r="55" spans="3:21" s="37" customFormat="1" ht="15.75" customHeight="1" x14ac:dyDescent="0.35">
      <c r="D55" s="40"/>
      <c r="E55" s="34"/>
      <c r="F55" s="34"/>
      <c r="G55" s="34"/>
      <c r="H55" s="34"/>
      <c r="I55" s="34"/>
      <c r="J55" s="39"/>
      <c r="K55" s="34"/>
      <c r="L55" s="34"/>
      <c r="M55" s="34"/>
      <c r="N55" s="34"/>
      <c r="O55" s="34"/>
      <c r="P55" s="39"/>
      <c r="R55" s="40"/>
      <c r="S55" s="40"/>
      <c r="T55" s="40"/>
      <c r="U55" s="40"/>
    </row>
    <row r="56" spans="3:21" s="37" customFormat="1" ht="15.75" customHeight="1" x14ac:dyDescent="0.35">
      <c r="D56" s="40"/>
      <c r="E56" s="34"/>
      <c r="F56" s="34"/>
      <c r="G56" s="34"/>
      <c r="H56" s="34"/>
      <c r="I56" s="34"/>
      <c r="J56" s="39"/>
      <c r="K56" s="34"/>
      <c r="L56" s="34"/>
      <c r="M56" s="34"/>
      <c r="N56" s="34"/>
      <c r="O56" s="34"/>
      <c r="P56" s="39"/>
      <c r="R56" s="40"/>
      <c r="S56" s="40"/>
      <c r="T56" s="40"/>
      <c r="U56" s="40"/>
    </row>
    <row r="57" spans="3:21" s="37" customFormat="1" ht="15.75" customHeight="1" x14ac:dyDescent="0.35">
      <c r="D57" s="40"/>
      <c r="E57" s="34"/>
      <c r="F57" s="34"/>
      <c r="G57" s="34"/>
      <c r="H57" s="34"/>
      <c r="I57" s="34"/>
      <c r="J57" s="39"/>
      <c r="K57" s="34"/>
      <c r="L57" s="34"/>
      <c r="M57" s="34"/>
      <c r="N57" s="34"/>
      <c r="O57" s="34"/>
      <c r="P57" s="39"/>
      <c r="R57" s="40"/>
      <c r="S57" s="40"/>
      <c r="T57" s="40"/>
      <c r="U57" s="40"/>
    </row>
    <row r="58" spans="3:21" s="37" customFormat="1" ht="15.75" customHeight="1" x14ac:dyDescent="0.35">
      <c r="D58" s="40"/>
      <c r="E58" s="34"/>
      <c r="F58" s="34"/>
      <c r="G58" s="34"/>
      <c r="H58" s="34"/>
      <c r="I58" s="34"/>
      <c r="J58" s="39"/>
      <c r="K58" s="34"/>
      <c r="L58" s="34"/>
      <c r="M58" s="34"/>
      <c r="N58" s="34"/>
      <c r="O58" s="34"/>
      <c r="P58" s="39"/>
      <c r="R58" s="40"/>
      <c r="S58" s="40"/>
      <c r="T58" s="40"/>
      <c r="U58" s="40"/>
    </row>
    <row r="59" spans="3:21" s="37" customFormat="1" ht="15.75" customHeight="1" x14ac:dyDescent="0.35">
      <c r="D59" s="40"/>
      <c r="E59" s="34"/>
      <c r="F59" s="34"/>
      <c r="G59" s="34"/>
      <c r="H59" s="34"/>
      <c r="I59" s="34"/>
      <c r="J59" s="39"/>
      <c r="K59" s="34"/>
      <c r="L59" s="34"/>
      <c r="M59" s="34"/>
      <c r="N59" s="34"/>
      <c r="O59" s="34"/>
      <c r="P59" s="39"/>
      <c r="R59" s="40"/>
      <c r="S59" s="40"/>
      <c r="T59" s="40"/>
      <c r="U59" s="40"/>
    </row>
    <row r="60" spans="3:21" s="37" customFormat="1" ht="15.75" customHeight="1" x14ac:dyDescent="0.35">
      <c r="D60" s="40"/>
      <c r="E60" s="34"/>
      <c r="F60" s="34"/>
      <c r="G60" s="34"/>
      <c r="H60" s="34"/>
      <c r="I60" s="34"/>
      <c r="J60" s="39"/>
      <c r="K60" s="34"/>
      <c r="L60" s="34"/>
      <c r="M60" s="34"/>
      <c r="N60" s="34"/>
      <c r="O60" s="34"/>
      <c r="P60" s="39"/>
      <c r="R60" s="40"/>
      <c r="S60" s="40"/>
      <c r="T60" s="40"/>
      <c r="U60" s="40"/>
    </row>
    <row r="61" spans="3:21" s="37" customFormat="1" ht="15.75" customHeight="1" x14ac:dyDescent="0.35">
      <c r="D61" s="40"/>
      <c r="E61" s="34"/>
      <c r="F61" s="34"/>
      <c r="G61" s="34"/>
      <c r="H61" s="34"/>
      <c r="I61" s="34"/>
      <c r="J61" s="39"/>
      <c r="K61" s="34"/>
      <c r="L61" s="34"/>
      <c r="M61" s="34"/>
      <c r="N61" s="34"/>
      <c r="O61" s="34"/>
      <c r="P61" s="39"/>
      <c r="R61" s="40"/>
      <c r="S61" s="40"/>
      <c r="T61" s="40"/>
      <c r="U61" s="40"/>
    </row>
    <row r="62" spans="3:21" s="37" customFormat="1" ht="15.75" customHeight="1" x14ac:dyDescent="0.35">
      <c r="D62" s="40"/>
      <c r="E62" s="34"/>
      <c r="F62" s="34"/>
      <c r="G62" s="34"/>
      <c r="H62" s="34"/>
      <c r="I62" s="34"/>
      <c r="J62" s="39"/>
      <c r="K62" s="34"/>
      <c r="L62" s="34"/>
      <c r="M62" s="34"/>
      <c r="N62" s="34"/>
      <c r="O62" s="34"/>
      <c r="P62" s="39"/>
      <c r="R62" s="40"/>
      <c r="S62" s="40"/>
      <c r="T62" s="40"/>
      <c r="U62" s="40"/>
    </row>
    <row r="63" spans="3:21" s="37" customFormat="1" ht="15.75" customHeight="1" x14ac:dyDescent="0.35">
      <c r="D63" s="40"/>
      <c r="E63" s="34"/>
      <c r="F63" s="34"/>
      <c r="G63" s="34"/>
      <c r="H63" s="34"/>
      <c r="I63" s="34"/>
      <c r="J63" s="39"/>
      <c r="K63" s="34"/>
      <c r="L63" s="34"/>
      <c r="M63" s="34"/>
      <c r="N63" s="34"/>
      <c r="O63" s="34"/>
      <c r="P63" s="39"/>
      <c r="R63" s="40"/>
      <c r="S63" s="40"/>
      <c r="T63" s="40"/>
      <c r="U63" s="40"/>
    </row>
    <row r="64" spans="3:21" s="37" customFormat="1" ht="15.75" customHeight="1" x14ac:dyDescent="0.35">
      <c r="D64" s="40"/>
      <c r="E64" s="34"/>
      <c r="F64" s="34"/>
      <c r="G64" s="34"/>
      <c r="H64" s="34"/>
      <c r="I64" s="34"/>
      <c r="J64" s="39"/>
      <c r="K64" s="34"/>
      <c r="L64" s="34"/>
      <c r="M64" s="34"/>
      <c r="N64" s="34"/>
      <c r="O64" s="34"/>
      <c r="P64" s="39"/>
      <c r="R64" s="40"/>
      <c r="S64" s="40"/>
      <c r="T64" s="40"/>
      <c r="U64" s="40"/>
    </row>
    <row r="65" spans="4:21" s="37" customFormat="1" ht="15.75" customHeight="1" x14ac:dyDescent="0.35">
      <c r="D65" s="40"/>
      <c r="E65" s="34"/>
      <c r="F65" s="34"/>
      <c r="G65" s="34"/>
      <c r="H65" s="34"/>
      <c r="I65" s="34"/>
      <c r="J65" s="39"/>
      <c r="K65" s="34"/>
      <c r="L65" s="34"/>
      <c r="M65" s="34"/>
      <c r="N65" s="34"/>
      <c r="O65" s="34"/>
      <c r="P65" s="39"/>
      <c r="R65" s="40"/>
      <c r="S65" s="40"/>
      <c r="T65" s="40"/>
      <c r="U65" s="40"/>
    </row>
    <row r="66" spans="4:21" s="37" customFormat="1" ht="15.75" customHeight="1" x14ac:dyDescent="0.35">
      <c r="D66" s="40"/>
      <c r="E66" s="34"/>
      <c r="F66" s="34"/>
      <c r="G66" s="34"/>
      <c r="H66" s="34"/>
      <c r="I66" s="34"/>
      <c r="J66" s="39"/>
      <c r="K66" s="34"/>
      <c r="L66" s="34"/>
      <c r="M66" s="34"/>
      <c r="N66" s="34"/>
      <c r="O66" s="34"/>
      <c r="P66" s="39"/>
      <c r="R66" s="40"/>
      <c r="S66" s="40"/>
      <c r="T66" s="40"/>
      <c r="U66" s="40"/>
    </row>
    <row r="67" spans="4:21" s="37" customFormat="1" ht="15.75" customHeight="1" x14ac:dyDescent="0.35">
      <c r="D67" s="40"/>
      <c r="E67" s="34"/>
      <c r="F67" s="34"/>
      <c r="G67" s="34"/>
      <c r="H67" s="34"/>
      <c r="I67" s="34"/>
      <c r="J67" s="39"/>
      <c r="K67" s="34"/>
      <c r="L67" s="34"/>
      <c r="M67" s="34"/>
      <c r="N67" s="34"/>
      <c r="O67" s="34"/>
      <c r="P67" s="39"/>
      <c r="R67" s="40"/>
      <c r="S67" s="40"/>
      <c r="T67" s="40"/>
      <c r="U67" s="40"/>
    </row>
    <row r="68" spans="4:21" s="37" customFormat="1" ht="15.75" customHeight="1" x14ac:dyDescent="0.35">
      <c r="D68" s="40"/>
      <c r="E68" s="34"/>
      <c r="F68" s="34"/>
      <c r="G68" s="34"/>
      <c r="H68" s="34"/>
      <c r="I68" s="34"/>
      <c r="J68" s="39"/>
      <c r="K68" s="34"/>
      <c r="L68" s="34"/>
      <c r="M68" s="34"/>
      <c r="N68" s="34"/>
      <c r="O68" s="34"/>
      <c r="P68" s="39"/>
      <c r="R68" s="40"/>
      <c r="S68" s="40"/>
      <c r="T68" s="40"/>
      <c r="U68" s="40"/>
    </row>
    <row r="69" spans="4:21" s="37" customFormat="1" ht="15.75" customHeight="1" x14ac:dyDescent="0.35">
      <c r="D69" s="40"/>
      <c r="E69" s="34"/>
      <c r="F69" s="34"/>
      <c r="G69" s="34"/>
      <c r="H69" s="34"/>
      <c r="I69" s="34"/>
      <c r="J69" s="39"/>
      <c r="K69" s="34"/>
      <c r="L69" s="34"/>
      <c r="M69" s="34"/>
      <c r="N69" s="34"/>
      <c r="O69" s="34"/>
      <c r="P69" s="39"/>
      <c r="R69" s="40"/>
      <c r="S69" s="40"/>
      <c r="T69" s="40"/>
      <c r="U69" s="40"/>
    </row>
    <row r="70" spans="4:21" s="37" customFormat="1" ht="15.75" customHeight="1" x14ac:dyDescent="0.35">
      <c r="D70" s="40"/>
      <c r="E70" s="34"/>
      <c r="F70" s="34"/>
      <c r="G70" s="34"/>
      <c r="H70" s="34"/>
      <c r="I70" s="34"/>
      <c r="J70" s="39"/>
      <c r="K70" s="34"/>
      <c r="L70" s="34"/>
      <c r="M70" s="34"/>
      <c r="N70" s="34"/>
      <c r="O70" s="34"/>
      <c r="P70" s="39"/>
      <c r="R70" s="40"/>
      <c r="S70" s="40"/>
      <c r="T70" s="40"/>
      <c r="U70" s="40"/>
    </row>
    <row r="71" spans="4:21" s="37" customFormat="1" ht="15.75" customHeight="1" x14ac:dyDescent="0.35">
      <c r="D71" s="40"/>
      <c r="E71" s="34"/>
      <c r="F71" s="34"/>
      <c r="G71" s="34"/>
      <c r="H71" s="34"/>
      <c r="I71" s="34"/>
      <c r="J71" s="39"/>
      <c r="K71" s="34"/>
      <c r="L71" s="34"/>
      <c r="M71" s="34"/>
      <c r="N71" s="34"/>
      <c r="O71" s="34"/>
      <c r="P71" s="39"/>
      <c r="R71" s="40"/>
      <c r="S71" s="40"/>
      <c r="T71" s="40"/>
      <c r="U71" s="40"/>
    </row>
    <row r="72" spans="4:21" s="37" customFormat="1" ht="15.75" customHeight="1" x14ac:dyDescent="0.35">
      <c r="D72" s="40"/>
      <c r="E72" s="34"/>
      <c r="F72" s="34"/>
      <c r="G72" s="34"/>
      <c r="H72" s="34"/>
      <c r="I72" s="34"/>
      <c r="J72" s="39"/>
      <c r="K72" s="34"/>
      <c r="L72" s="34"/>
      <c r="M72" s="34"/>
      <c r="N72" s="34"/>
      <c r="O72" s="34"/>
      <c r="P72" s="39"/>
      <c r="R72" s="40"/>
      <c r="S72" s="40"/>
      <c r="T72" s="40"/>
      <c r="U72" s="40"/>
    </row>
    <row r="73" spans="4:21" s="37" customFormat="1" ht="15.75" customHeight="1" x14ac:dyDescent="0.35">
      <c r="D73" s="40"/>
      <c r="E73" s="34"/>
      <c r="F73" s="34"/>
      <c r="G73" s="34"/>
      <c r="H73" s="34"/>
      <c r="I73" s="34"/>
      <c r="J73" s="39"/>
      <c r="K73" s="34"/>
      <c r="L73" s="34"/>
      <c r="M73" s="34"/>
      <c r="N73" s="34"/>
      <c r="O73" s="34"/>
      <c r="P73" s="39"/>
      <c r="R73" s="40"/>
      <c r="S73" s="40"/>
      <c r="T73" s="40"/>
      <c r="U73" s="40"/>
    </row>
    <row r="74" spans="4:21" s="37" customFormat="1" ht="15.75" customHeight="1" x14ac:dyDescent="0.35">
      <c r="D74" s="40"/>
      <c r="E74" s="34"/>
      <c r="F74" s="34"/>
      <c r="G74" s="34"/>
      <c r="H74" s="34"/>
      <c r="I74" s="34"/>
      <c r="J74" s="39"/>
      <c r="K74" s="34"/>
      <c r="L74" s="34"/>
      <c r="M74" s="34"/>
      <c r="N74" s="34"/>
      <c r="O74" s="34"/>
      <c r="P74" s="39"/>
      <c r="R74" s="40"/>
      <c r="S74" s="40"/>
      <c r="T74" s="40"/>
      <c r="U74" s="40"/>
    </row>
    <row r="75" spans="4:21" s="37" customFormat="1" ht="15.75" customHeight="1" x14ac:dyDescent="0.35">
      <c r="D75" s="40"/>
      <c r="E75" s="34"/>
      <c r="F75" s="34"/>
      <c r="G75" s="34"/>
      <c r="H75" s="34"/>
      <c r="I75" s="34"/>
      <c r="J75" s="39"/>
      <c r="K75" s="34"/>
      <c r="L75" s="34"/>
      <c r="M75" s="34"/>
      <c r="N75" s="34"/>
      <c r="O75" s="34"/>
      <c r="P75" s="39"/>
      <c r="R75" s="40"/>
      <c r="S75" s="40"/>
      <c r="T75" s="40"/>
      <c r="U75" s="40"/>
    </row>
    <row r="76" spans="4:21" s="37" customFormat="1" ht="15.75" customHeight="1" x14ac:dyDescent="0.35">
      <c r="D76" s="40"/>
      <c r="E76" s="34"/>
      <c r="F76" s="34"/>
      <c r="G76" s="34"/>
      <c r="H76" s="34"/>
      <c r="I76" s="34"/>
      <c r="J76" s="39"/>
      <c r="K76" s="34"/>
      <c r="L76" s="34"/>
      <c r="M76" s="34"/>
      <c r="N76" s="34"/>
      <c r="O76" s="34"/>
      <c r="P76" s="39"/>
      <c r="R76" s="40"/>
      <c r="S76" s="40"/>
      <c r="T76" s="40"/>
      <c r="U76" s="40"/>
    </row>
    <row r="77" spans="4:21" s="37" customFormat="1" ht="15.75" customHeight="1" x14ac:dyDescent="0.35">
      <c r="D77" s="40"/>
      <c r="E77" s="34"/>
      <c r="F77" s="34"/>
      <c r="G77" s="34"/>
      <c r="H77" s="34"/>
      <c r="I77" s="34"/>
      <c r="J77" s="39"/>
      <c r="K77" s="34"/>
      <c r="L77" s="34"/>
      <c r="M77" s="34"/>
      <c r="N77" s="34"/>
      <c r="O77" s="34"/>
      <c r="P77" s="39"/>
      <c r="R77" s="40"/>
      <c r="S77" s="40"/>
      <c r="T77" s="40"/>
      <c r="U77" s="40"/>
    </row>
    <row r="78" spans="4:21" s="37" customFormat="1" ht="15.75" customHeight="1" x14ac:dyDescent="0.35">
      <c r="D78" s="40"/>
      <c r="E78" s="34"/>
      <c r="F78" s="34"/>
      <c r="G78" s="34"/>
      <c r="H78" s="34"/>
      <c r="I78" s="34"/>
      <c r="J78" s="39"/>
      <c r="K78" s="34"/>
      <c r="L78" s="34"/>
      <c r="M78" s="34"/>
      <c r="N78" s="34"/>
      <c r="O78" s="34"/>
      <c r="P78" s="39"/>
      <c r="R78" s="40"/>
      <c r="S78" s="40"/>
      <c r="T78" s="40"/>
      <c r="U78" s="40"/>
    </row>
    <row r="79" spans="4:21" s="37" customFormat="1" ht="15.75" customHeight="1" x14ac:dyDescent="0.35">
      <c r="D79" s="40"/>
      <c r="E79" s="34"/>
      <c r="F79" s="34"/>
      <c r="G79" s="34"/>
      <c r="H79" s="34"/>
      <c r="I79" s="34"/>
      <c r="J79" s="39"/>
      <c r="K79" s="34"/>
      <c r="L79" s="34"/>
      <c r="M79" s="34"/>
      <c r="N79" s="34"/>
      <c r="O79" s="34"/>
      <c r="P79" s="39"/>
      <c r="R79" s="40"/>
      <c r="S79" s="40"/>
      <c r="T79" s="40"/>
      <c r="U79" s="40"/>
    </row>
    <row r="80" spans="4:21" s="37" customFormat="1" ht="15.75" customHeight="1" x14ac:dyDescent="0.35">
      <c r="D80" s="40"/>
      <c r="E80" s="34"/>
      <c r="F80" s="34"/>
      <c r="G80" s="34"/>
      <c r="H80" s="34"/>
      <c r="I80" s="34"/>
      <c r="J80" s="39"/>
      <c r="K80" s="34"/>
      <c r="L80" s="34"/>
      <c r="M80" s="34"/>
      <c r="N80" s="34"/>
      <c r="O80" s="34"/>
      <c r="P80" s="39"/>
      <c r="R80" s="40"/>
      <c r="S80" s="40"/>
      <c r="T80" s="40"/>
      <c r="U80" s="40"/>
    </row>
    <row r="81" spans="4:21" s="37" customFormat="1" ht="15.75" customHeight="1" x14ac:dyDescent="0.35">
      <c r="D81" s="40"/>
      <c r="E81" s="34"/>
      <c r="F81" s="34"/>
      <c r="G81" s="34"/>
      <c r="H81" s="34"/>
      <c r="I81" s="34"/>
      <c r="J81" s="39"/>
      <c r="K81" s="34"/>
      <c r="L81" s="34"/>
      <c r="M81" s="34"/>
      <c r="N81" s="34"/>
      <c r="O81" s="34"/>
      <c r="P81" s="39"/>
      <c r="R81" s="40"/>
      <c r="S81" s="40"/>
      <c r="T81" s="40"/>
      <c r="U81" s="40"/>
    </row>
    <row r="82" spans="4:21" s="37" customFormat="1" ht="15.75" customHeight="1" x14ac:dyDescent="0.35">
      <c r="D82" s="40"/>
      <c r="E82" s="34"/>
      <c r="F82" s="34"/>
      <c r="G82" s="34"/>
      <c r="H82" s="34"/>
      <c r="I82" s="34"/>
      <c r="J82" s="39"/>
      <c r="K82" s="34"/>
      <c r="L82" s="34"/>
      <c r="M82" s="34"/>
      <c r="N82" s="34"/>
      <c r="O82" s="34"/>
      <c r="P82" s="39"/>
      <c r="R82" s="40"/>
      <c r="S82" s="40"/>
      <c r="T82" s="40"/>
      <c r="U82" s="40"/>
    </row>
    <row r="83" spans="4:21" s="37" customFormat="1" ht="15.75" customHeight="1" x14ac:dyDescent="0.35">
      <c r="D83" s="40"/>
      <c r="E83" s="34"/>
      <c r="F83" s="34"/>
      <c r="G83" s="34"/>
      <c r="H83" s="34"/>
      <c r="I83" s="34"/>
      <c r="J83" s="39"/>
      <c r="K83" s="34"/>
      <c r="L83" s="34"/>
      <c r="M83" s="34"/>
      <c r="N83" s="34"/>
      <c r="O83" s="34"/>
      <c r="P83" s="39"/>
      <c r="R83" s="40"/>
      <c r="S83" s="40"/>
      <c r="T83" s="40"/>
      <c r="U83" s="40"/>
    </row>
    <row r="84" spans="4:21" s="37" customFormat="1" ht="15.75" customHeight="1" x14ac:dyDescent="0.35">
      <c r="D84" s="40"/>
      <c r="E84" s="34"/>
      <c r="F84" s="34"/>
      <c r="G84" s="34"/>
      <c r="H84" s="34"/>
      <c r="I84" s="34"/>
      <c r="J84" s="39"/>
      <c r="K84" s="34"/>
      <c r="L84" s="34"/>
      <c r="M84" s="34"/>
      <c r="N84" s="34"/>
      <c r="O84" s="34"/>
      <c r="P84" s="39"/>
      <c r="R84" s="40"/>
      <c r="S84" s="40"/>
      <c r="T84" s="40"/>
      <c r="U84" s="40"/>
    </row>
    <row r="85" spans="4:21" s="37" customFormat="1" ht="15.75" customHeight="1" x14ac:dyDescent="0.35">
      <c r="D85" s="40"/>
      <c r="E85" s="34"/>
      <c r="F85" s="34"/>
      <c r="G85" s="34"/>
      <c r="H85" s="34"/>
      <c r="I85" s="34"/>
      <c r="J85" s="39"/>
      <c r="K85" s="34"/>
      <c r="L85" s="34"/>
      <c r="M85" s="34"/>
      <c r="N85" s="34"/>
      <c r="O85" s="34"/>
      <c r="P85" s="39"/>
      <c r="R85" s="40"/>
      <c r="S85" s="40"/>
      <c r="T85" s="40"/>
      <c r="U85" s="40"/>
    </row>
    <row r="86" spans="4:21" s="37" customFormat="1" ht="15.75" customHeight="1" x14ac:dyDescent="0.35">
      <c r="D86" s="40"/>
      <c r="E86" s="34"/>
      <c r="F86" s="34"/>
      <c r="G86" s="34"/>
      <c r="H86" s="34"/>
      <c r="I86" s="34"/>
      <c r="J86" s="39"/>
      <c r="K86" s="34"/>
      <c r="L86" s="34"/>
      <c r="M86" s="34"/>
      <c r="N86" s="34"/>
      <c r="O86" s="34"/>
      <c r="P86" s="39"/>
      <c r="R86" s="40"/>
      <c r="S86" s="40"/>
      <c r="T86" s="40"/>
      <c r="U86" s="40"/>
    </row>
    <row r="87" spans="4:21" s="37" customFormat="1" ht="15.75" customHeight="1" x14ac:dyDescent="0.35">
      <c r="D87" s="40"/>
      <c r="E87" s="34"/>
      <c r="F87" s="34"/>
      <c r="G87" s="34"/>
      <c r="H87" s="34"/>
      <c r="I87" s="34"/>
      <c r="J87" s="39"/>
      <c r="K87" s="34"/>
      <c r="L87" s="34"/>
      <c r="M87" s="34"/>
      <c r="N87" s="34"/>
      <c r="O87" s="34"/>
      <c r="P87" s="39"/>
      <c r="R87" s="40"/>
      <c r="S87" s="40"/>
      <c r="T87" s="40"/>
      <c r="U87" s="40"/>
    </row>
    <row r="88" spans="4:21" s="37" customFormat="1" ht="15.75" customHeight="1" x14ac:dyDescent="0.35">
      <c r="D88" s="40"/>
      <c r="E88" s="34"/>
      <c r="F88" s="34"/>
      <c r="G88" s="34"/>
      <c r="H88" s="34"/>
      <c r="I88" s="34"/>
      <c r="J88" s="39"/>
      <c r="K88" s="34"/>
      <c r="L88" s="34"/>
      <c r="M88" s="34"/>
      <c r="N88" s="34"/>
      <c r="O88" s="34"/>
      <c r="P88" s="39"/>
      <c r="R88" s="40"/>
      <c r="S88" s="40"/>
      <c r="T88" s="40"/>
      <c r="U88" s="40"/>
    </row>
    <row r="89" spans="4:21" s="37" customFormat="1" ht="15.75" customHeight="1" x14ac:dyDescent="0.35">
      <c r="D89" s="40"/>
      <c r="E89" s="34"/>
      <c r="F89" s="34"/>
      <c r="G89" s="34"/>
      <c r="H89" s="34"/>
      <c r="I89" s="34"/>
      <c r="J89" s="39"/>
      <c r="K89" s="34"/>
      <c r="L89" s="34"/>
      <c r="M89" s="34"/>
      <c r="N89" s="34"/>
      <c r="O89" s="34"/>
      <c r="P89" s="39"/>
      <c r="R89" s="40"/>
      <c r="S89" s="40"/>
      <c r="T89" s="40"/>
      <c r="U89" s="40"/>
    </row>
    <row r="90" spans="4:21" s="37" customFormat="1" ht="15.75" customHeight="1" x14ac:dyDescent="0.35">
      <c r="D90" s="40"/>
      <c r="E90" s="34"/>
      <c r="F90" s="34"/>
      <c r="G90" s="34"/>
      <c r="H90" s="34"/>
      <c r="I90" s="34"/>
      <c r="J90" s="39"/>
      <c r="K90" s="34"/>
      <c r="L90" s="34"/>
      <c r="M90" s="34"/>
      <c r="N90" s="34"/>
      <c r="O90" s="34"/>
      <c r="P90" s="39"/>
      <c r="R90" s="40"/>
      <c r="S90" s="40"/>
      <c r="T90" s="40"/>
      <c r="U90" s="40"/>
    </row>
    <row r="91" spans="4:21" s="37" customFormat="1" ht="15.75" customHeight="1" x14ac:dyDescent="0.35">
      <c r="D91" s="40"/>
      <c r="E91" s="34"/>
      <c r="F91" s="34"/>
      <c r="G91" s="34"/>
      <c r="H91" s="34"/>
      <c r="I91" s="34"/>
      <c r="J91" s="39"/>
      <c r="K91" s="34"/>
      <c r="L91" s="34"/>
      <c r="M91" s="34"/>
      <c r="N91" s="34"/>
      <c r="O91" s="34"/>
      <c r="P91" s="39"/>
      <c r="R91" s="40"/>
      <c r="S91" s="40"/>
      <c r="T91" s="40"/>
      <c r="U91" s="40"/>
    </row>
    <row r="92" spans="4:21" s="37" customFormat="1" ht="15.75" customHeight="1" x14ac:dyDescent="0.35">
      <c r="D92" s="40"/>
      <c r="E92" s="34"/>
      <c r="F92" s="34"/>
      <c r="G92" s="34"/>
      <c r="H92" s="34"/>
      <c r="I92" s="34"/>
      <c r="J92" s="39"/>
      <c r="K92" s="34"/>
      <c r="L92" s="34"/>
      <c r="M92" s="34"/>
      <c r="N92" s="34"/>
      <c r="O92" s="34"/>
      <c r="P92" s="39"/>
      <c r="R92" s="40"/>
      <c r="S92" s="40"/>
      <c r="T92" s="40"/>
      <c r="U92" s="40"/>
    </row>
    <row r="93" spans="4:21" s="37" customFormat="1" ht="15.75" customHeight="1" x14ac:dyDescent="0.35">
      <c r="D93" s="40"/>
      <c r="E93" s="34"/>
      <c r="F93" s="34"/>
      <c r="G93" s="34"/>
      <c r="H93" s="34"/>
      <c r="I93" s="34"/>
      <c r="J93" s="39"/>
      <c r="K93" s="34"/>
      <c r="L93" s="34"/>
      <c r="M93" s="34"/>
      <c r="N93" s="34"/>
      <c r="O93" s="34"/>
      <c r="P93" s="39"/>
      <c r="R93" s="40"/>
      <c r="S93" s="40"/>
      <c r="T93" s="40"/>
      <c r="U93" s="40"/>
    </row>
    <row r="94" spans="4:21" s="37" customFormat="1" ht="15.75" customHeight="1" x14ac:dyDescent="0.35">
      <c r="D94" s="40"/>
      <c r="E94" s="34"/>
      <c r="F94" s="34"/>
      <c r="G94" s="34"/>
      <c r="H94" s="34"/>
      <c r="I94" s="34"/>
      <c r="J94" s="39"/>
      <c r="K94" s="34"/>
      <c r="L94" s="34"/>
      <c r="M94" s="34"/>
      <c r="N94" s="34"/>
      <c r="O94" s="34"/>
      <c r="P94" s="39"/>
      <c r="R94" s="40"/>
      <c r="S94" s="40"/>
      <c r="T94" s="40"/>
      <c r="U94" s="40"/>
    </row>
    <row r="95" spans="4:21" s="37" customFormat="1" ht="15.75" customHeight="1" x14ac:dyDescent="0.35">
      <c r="D95" s="40"/>
      <c r="E95" s="34"/>
      <c r="F95" s="34"/>
      <c r="G95" s="34"/>
      <c r="H95" s="34"/>
      <c r="I95" s="34"/>
      <c r="J95" s="39"/>
      <c r="K95" s="34"/>
      <c r="L95" s="34"/>
      <c r="M95" s="34"/>
      <c r="N95" s="34"/>
      <c r="O95" s="34"/>
      <c r="P95" s="39"/>
      <c r="R95" s="40"/>
      <c r="S95" s="40"/>
      <c r="T95" s="40"/>
      <c r="U95" s="40"/>
    </row>
    <row r="96" spans="4:21" s="37" customFormat="1" ht="15.75" customHeight="1" x14ac:dyDescent="0.35">
      <c r="D96" s="40"/>
      <c r="E96" s="34"/>
      <c r="F96" s="34"/>
      <c r="G96" s="34"/>
      <c r="H96" s="34"/>
      <c r="I96" s="34"/>
      <c r="J96" s="39"/>
      <c r="K96" s="34"/>
      <c r="L96" s="34"/>
      <c r="M96" s="34"/>
      <c r="N96" s="34"/>
      <c r="O96" s="34"/>
      <c r="P96" s="39"/>
      <c r="R96" s="40"/>
      <c r="S96" s="40"/>
      <c r="T96" s="40"/>
      <c r="U96" s="40"/>
    </row>
    <row r="97" spans="4:21" s="37" customFormat="1" ht="15.75" customHeight="1" x14ac:dyDescent="0.35">
      <c r="D97" s="40"/>
      <c r="E97" s="34"/>
      <c r="F97" s="34"/>
      <c r="G97" s="34"/>
      <c r="H97" s="34"/>
      <c r="I97" s="34"/>
      <c r="J97" s="39"/>
      <c r="K97" s="34"/>
      <c r="L97" s="34"/>
      <c r="M97" s="34"/>
      <c r="N97" s="34"/>
      <c r="O97" s="34"/>
      <c r="P97" s="39"/>
      <c r="R97" s="40"/>
      <c r="S97" s="40"/>
      <c r="T97" s="40"/>
      <c r="U97" s="40"/>
    </row>
    <row r="98" spans="4:21" s="37" customFormat="1" ht="15.75" customHeight="1" x14ac:dyDescent="0.35">
      <c r="D98" s="40"/>
      <c r="E98" s="34"/>
      <c r="F98" s="34"/>
      <c r="G98" s="34"/>
      <c r="H98" s="34"/>
      <c r="I98" s="34"/>
      <c r="J98" s="39"/>
      <c r="K98" s="34"/>
      <c r="L98" s="34"/>
      <c r="M98" s="34"/>
      <c r="N98" s="34"/>
      <c r="O98" s="34"/>
      <c r="P98" s="39"/>
      <c r="R98" s="40"/>
      <c r="S98" s="40"/>
      <c r="T98" s="40"/>
      <c r="U98" s="40"/>
    </row>
    <row r="99" spans="4:21" s="37" customFormat="1" ht="15.75" customHeight="1" x14ac:dyDescent="0.35">
      <c r="D99" s="40"/>
      <c r="E99" s="34"/>
      <c r="F99" s="34"/>
      <c r="G99" s="34"/>
      <c r="H99" s="34"/>
      <c r="I99" s="34"/>
      <c r="J99" s="39"/>
      <c r="K99" s="34"/>
      <c r="L99" s="34"/>
      <c r="M99" s="34"/>
      <c r="N99" s="34"/>
      <c r="O99" s="34"/>
      <c r="P99" s="39"/>
      <c r="R99" s="40"/>
      <c r="S99" s="40"/>
      <c r="T99" s="40"/>
      <c r="U99" s="40"/>
    </row>
    <row r="100" spans="4:21" s="37" customFormat="1" ht="15.75" customHeight="1" x14ac:dyDescent="0.35">
      <c r="D100" s="40"/>
      <c r="E100" s="34"/>
      <c r="F100" s="34"/>
      <c r="G100" s="34"/>
      <c r="H100" s="34"/>
      <c r="I100" s="34"/>
      <c r="J100" s="39"/>
      <c r="K100" s="34"/>
      <c r="L100" s="34"/>
      <c r="M100" s="34"/>
      <c r="N100" s="34"/>
      <c r="O100" s="34"/>
      <c r="P100" s="39"/>
      <c r="R100" s="40"/>
      <c r="S100" s="40"/>
      <c r="T100" s="40"/>
      <c r="U100" s="40"/>
    </row>
    <row r="101" spans="4:21" s="37" customFormat="1" ht="15.75" customHeight="1" x14ac:dyDescent="0.35">
      <c r="D101" s="40"/>
      <c r="E101" s="34"/>
      <c r="F101" s="34"/>
      <c r="G101" s="34"/>
      <c r="H101" s="34"/>
      <c r="I101" s="34"/>
      <c r="J101" s="39"/>
      <c r="K101" s="34"/>
      <c r="L101" s="34"/>
      <c r="M101" s="34"/>
      <c r="N101" s="34"/>
      <c r="O101" s="34"/>
      <c r="P101" s="39"/>
      <c r="R101" s="40"/>
      <c r="S101" s="40"/>
      <c r="T101" s="40"/>
      <c r="U101" s="40"/>
    </row>
    <row r="102" spans="4:21" s="37" customFormat="1" ht="15.75" customHeight="1" x14ac:dyDescent="0.35">
      <c r="D102" s="40"/>
      <c r="E102" s="34"/>
      <c r="F102" s="34"/>
      <c r="G102" s="34"/>
      <c r="H102" s="34"/>
      <c r="I102" s="34"/>
      <c r="J102" s="39"/>
      <c r="K102" s="34"/>
      <c r="L102" s="34"/>
      <c r="M102" s="34"/>
      <c r="N102" s="34"/>
      <c r="O102" s="34"/>
      <c r="P102" s="39"/>
      <c r="R102" s="40"/>
      <c r="S102" s="40"/>
      <c r="T102" s="40"/>
      <c r="U102" s="40"/>
    </row>
    <row r="103" spans="4:21" s="37" customFormat="1" ht="15.75" customHeight="1" x14ac:dyDescent="0.35">
      <c r="D103" s="40"/>
      <c r="E103" s="34"/>
      <c r="F103" s="34"/>
      <c r="G103" s="34"/>
      <c r="H103" s="34"/>
      <c r="I103" s="34"/>
      <c r="J103" s="39"/>
      <c r="K103" s="34"/>
      <c r="L103" s="34"/>
      <c r="M103" s="34"/>
      <c r="N103" s="34"/>
      <c r="O103" s="34"/>
      <c r="P103" s="39"/>
      <c r="R103" s="40"/>
      <c r="S103" s="40"/>
      <c r="T103" s="40"/>
      <c r="U103" s="40"/>
    </row>
    <row r="104" spans="4:21" s="37" customFormat="1" ht="15.75" customHeight="1" x14ac:dyDescent="0.35">
      <c r="D104" s="40"/>
      <c r="E104" s="34"/>
      <c r="F104" s="34"/>
      <c r="G104" s="34"/>
      <c r="H104" s="34"/>
      <c r="I104" s="34"/>
      <c r="J104" s="39"/>
      <c r="K104" s="34"/>
      <c r="L104" s="34"/>
      <c r="M104" s="34"/>
      <c r="N104" s="34"/>
      <c r="O104" s="34"/>
      <c r="P104" s="39"/>
      <c r="R104" s="40"/>
      <c r="S104" s="40"/>
      <c r="T104" s="40"/>
      <c r="U104" s="40"/>
    </row>
    <row r="105" spans="4:21" s="37" customFormat="1" ht="15.75" customHeight="1" x14ac:dyDescent="0.35">
      <c r="D105" s="40"/>
      <c r="E105" s="34"/>
      <c r="F105" s="34"/>
      <c r="G105" s="34"/>
      <c r="H105" s="34"/>
      <c r="I105" s="34"/>
      <c r="J105" s="39"/>
      <c r="K105" s="34"/>
      <c r="L105" s="34"/>
      <c r="M105" s="34"/>
      <c r="N105" s="34"/>
      <c r="O105" s="34"/>
      <c r="P105" s="39"/>
      <c r="R105" s="40"/>
      <c r="S105" s="40"/>
      <c r="T105" s="40"/>
      <c r="U105" s="40"/>
    </row>
    <row r="106" spans="4:21" s="37" customFormat="1" ht="15.75" customHeight="1" x14ac:dyDescent="0.35">
      <c r="D106" s="40"/>
      <c r="E106" s="34"/>
      <c r="F106" s="34"/>
      <c r="G106" s="34"/>
      <c r="H106" s="34"/>
      <c r="I106" s="34"/>
      <c r="J106" s="39"/>
      <c r="K106" s="34"/>
      <c r="L106" s="34"/>
      <c r="M106" s="34"/>
      <c r="N106" s="34"/>
      <c r="O106" s="34"/>
      <c r="P106" s="39"/>
      <c r="R106" s="40"/>
      <c r="S106" s="40"/>
      <c r="T106" s="40"/>
      <c r="U106" s="40"/>
    </row>
    <row r="107" spans="4:21" s="37" customFormat="1" ht="15.75" customHeight="1" x14ac:dyDescent="0.35">
      <c r="D107" s="40"/>
      <c r="E107" s="34"/>
      <c r="F107" s="34"/>
      <c r="G107" s="34"/>
      <c r="H107" s="34"/>
      <c r="I107" s="34"/>
      <c r="J107" s="39"/>
      <c r="K107" s="34"/>
      <c r="L107" s="34"/>
      <c r="M107" s="34"/>
      <c r="N107" s="34"/>
      <c r="O107" s="34"/>
      <c r="P107" s="39"/>
      <c r="R107" s="40"/>
      <c r="S107" s="40"/>
      <c r="T107" s="40"/>
      <c r="U107" s="40"/>
    </row>
    <row r="108" spans="4:21" s="37" customFormat="1" ht="15.75" customHeight="1" x14ac:dyDescent="0.35">
      <c r="D108" s="40"/>
      <c r="E108" s="34"/>
      <c r="F108" s="34"/>
      <c r="G108" s="34"/>
      <c r="H108" s="34"/>
      <c r="I108" s="34"/>
      <c r="J108" s="39"/>
      <c r="K108" s="34"/>
      <c r="L108" s="34"/>
      <c r="M108" s="34"/>
      <c r="N108" s="34"/>
      <c r="O108" s="34"/>
      <c r="P108" s="39"/>
      <c r="R108" s="40"/>
      <c r="S108" s="40"/>
      <c r="T108" s="40"/>
      <c r="U108" s="40"/>
    </row>
    <row r="109" spans="4:21" s="37" customFormat="1" ht="15.75" customHeight="1" x14ac:dyDescent="0.35">
      <c r="D109" s="40"/>
      <c r="E109" s="34"/>
      <c r="F109" s="34"/>
      <c r="G109" s="34"/>
      <c r="H109" s="34"/>
      <c r="I109" s="34"/>
      <c r="J109" s="39"/>
      <c r="K109" s="34"/>
      <c r="L109" s="34"/>
      <c r="M109" s="34"/>
      <c r="N109" s="34"/>
      <c r="O109" s="34"/>
      <c r="P109" s="39"/>
      <c r="R109" s="40"/>
      <c r="S109" s="40"/>
      <c r="T109" s="40"/>
      <c r="U109" s="40"/>
    </row>
    <row r="110" spans="4:21" s="37" customFormat="1" ht="15.75" customHeight="1" x14ac:dyDescent="0.35">
      <c r="D110" s="40"/>
      <c r="E110" s="34"/>
      <c r="F110" s="34"/>
      <c r="G110" s="34"/>
      <c r="H110" s="34"/>
      <c r="I110" s="34"/>
      <c r="J110" s="39"/>
      <c r="K110" s="34"/>
      <c r="L110" s="34"/>
      <c r="M110" s="34"/>
      <c r="N110" s="34"/>
      <c r="O110" s="34"/>
      <c r="P110" s="39"/>
      <c r="R110" s="40"/>
      <c r="S110" s="40"/>
      <c r="T110" s="40"/>
      <c r="U110" s="40"/>
    </row>
    <row r="111" spans="4:21" s="37" customFormat="1" ht="15.75" customHeight="1" x14ac:dyDescent="0.35">
      <c r="D111" s="40"/>
      <c r="E111" s="34"/>
      <c r="F111" s="34"/>
      <c r="G111" s="34"/>
      <c r="H111" s="34"/>
      <c r="I111" s="34"/>
      <c r="J111" s="39"/>
      <c r="K111" s="34"/>
      <c r="L111" s="34"/>
      <c r="M111" s="34"/>
      <c r="N111" s="34"/>
      <c r="O111" s="34"/>
      <c r="P111" s="39"/>
      <c r="R111" s="40"/>
      <c r="S111" s="40"/>
      <c r="T111" s="40"/>
      <c r="U111" s="40"/>
    </row>
    <row r="112" spans="4:21" s="37" customFormat="1" ht="15.75" customHeight="1" x14ac:dyDescent="0.35">
      <c r="D112" s="40"/>
      <c r="E112" s="34"/>
      <c r="F112" s="34"/>
      <c r="G112" s="34"/>
      <c r="H112" s="34"/>
      <c r="I112" s="34"/>
      <c r="J112" s="39"/>
      <c r="K112" s="34"/>
      <c r="L112" s="34"/>
      <c r="M112" s="34"/>
      <c r="N112" s="34"/>
      <c r="O112" s="34"/>
      <c r="P112" s="39"/>
      <c r="R112" s="40"/>
      <c r="S112" s="40"/>
      <c r="T112" s="40"/>
      <c r="U112" s="40"/>
    </row>
    <row r="113" spans="4:21" s="37" customFormat="1" ht="15.75" customHeight="1" x14ac:dyDescent="0.35">
      <c r="D113" s="40"/>
      <c r="E113" s="34"/>
      <c r="F113" s="34"/>
      <c r="G113" s="34"/>
      <c r="H113" s="34"/>
      <c r="I113" s="34"/>
      <c r="J113" s="39"/>
      <c r="K113" s="34"/>
      <c r="L113" s="34"/>
      <c r="M113" s="34"/>
      <c r="N113" s="34"/>
      <c r="O113" s="34"/>
      <c r="P113" s="39"/>
      <c r="R113" s="40"/>
      <c r="S113" s="40"/>
      <c r="T113" s="40"/>
      <c r="U113" s="40"/>
    </row>
    <row r="114" spans="4:21" s="37" customFormat="1" ht="15.75" customHeight="1" x14ac:dyDescent="0.35">
      <c r="D114" s="40"/>
      <c r="E114" s="34"/>
      <c r="F114" s="34"/>
      <c r="G114" s="34"/>
      <c r="H114" s="34"/>
      <c r="I114" s="34"/>
      <c r="J114" s="39"/>
      <c r="K114" s="34"/>
      <c r="L114" s="34"/>
      <c r="M114" s="34"/>
      <c r="N114" s="34"/>
      <c r="O114" s="34"/>
      <c r="P114" s="39"/>
      <c r="R114" s="40"/>
      <c r="S114" s="40"/>
      <c r="T114" s="40"/>
      <c r="U114" s="40"/>
    </row>
    <row r="115" spans="4:21" s="37" customFormat="1" ht="15.75" customHeight="1" x14ac:dyDescent="0.35">
      <c r="D115" s="40"/>
      <c r="E115" s="34"/>
      <c r="F115" s="34"/>
      <c r="G115" s="34"/>
      <c r="H115" s="34"/>
      <c r="I115" s="34"/>
      <c r="J115" s="39"/>
      <c r="K115" s="34"/>
      <c r="L115" s="34"/>
      <c r="M115" s="34"/>
      <c r="N115" s="34"/>
      <c r="O115" s="34"/>
      <c r="P115" s="39"/>
      <c r="R115" s="40"/>
      <c r="S115" s="40"/>
      <c r="T115" s="40"/>
      <c r="U115" s="40"/>
    </row>
    <row r="116" spans="4:21" s="37" customFormat="1" ht="15.75" customHeight="1" x14ac:dyDescent="0.35">
      <c r="D116" s="40"/>
      <c r="E116" s="34"/>
      <c r="F116" s="34"/>
      <c r="G116" s="34"/>
      <c r="H116" s="34"/>
      <c r="I116" s="34"/>
      <c r="J116" s="39"/>
      <c r="K116" s="34"/>
      <c r="L116" s="34"/>
      <c r="M116" s="34"/>
      <c r="N116" s="34"/>
      <c r="O116" s="34"/>
      <c r="P116" s="39"/>
      <c r="R116" s="40"/>
      <c r="S116" s="40"/>
      <c r="T116" s="40"/>
      <c r="U116" s="40"/>
    </row>
    <row r="117" spans="4:21" s="37" customFormat="1" ht="15.75" customHeight="1" x14ac:dyDescent="0.35">
      <c r="D117" s="40"/>
      <c r="E117" s="34"/>
      <c r="F117" s="34"/>
      <c r="G117" s="34"/>
      <c r="H117" s="34"/>
      <c r="I117" s="34"/>
      <c r="J117" s="39"/>
      <c r="K117" s="34"/>
      <c r="L117" s="34"/>
      <c r="M117" s="34"/>
      <c r="N117" s="34"/>
      <c r="O117" s="34"/>
      <c r="P117" s="39"/>
      <c r="R117" s="40"/>
      <c r="S117" s="40"/>
      <c r="T117" s="40"/>
      <c r="U117" s="40"/>
    </row>
    <row r="118" spans="4:21" s="37" customFormat="1" ht="15.75" customHeight="1" x14ac:dyDescent="0.35">
      <c r="D118" s="40"/>
      <c r="E118" s="34"/>
      <c r="F118" s="34"/>
      <c r="G118" s="34"/>
      <c r="H118" s="34"/>
      <c r="I118" s="34"/>
      <c r="J118" s="39"/>
      <c r="K118" s="34"/>
      <c r="L118" s="34"/>
      <c r="M118" s="34"/>
      <c r="N118" s="34"/>
      <c r="O118" s="34"/>
      <c r="P118" s="39"/>
      <c r="R118" s="40"/>
      <c r="S118" s="40"/>
      <c r="T118" s="40"/>
      <c r="U118" s="40"/>
    </row>
    <row r="119" spans="4:21" s="37" customFormat="1" ht="15.75" customHeight="1" x14ac:dyDescent="0.35">
      <c r="D119" s="40"/>
      <c r="E119" s="34"/>
      <c r="F119" s="34"/>
      <c r="G119" s="34"/>
      <c r="H119" s="34"/>
      <c r="I119" s="34"/>
      <c r="J119" s="39"/>
      <c r="K119" s="34"/>
      <c r="L119" s="34"/>
      <c r="M119" s="34"/>
      <c r="N119" s="34"/>
      <c r="O119" s="34"/>
      <c r="P119" s="39"/>
      <c r="R119" s="40"/>
      <c r="S119" s="40"/>
      <c r="T119" s="40"/>
      <c r="U119" s="40"/>
    </row>
    <row r="120" spans="4:21" s="37" customFormat="1" ht="15.75" customHeight="1" x14ac:dyDescent="0.35">
      <c r="D120" s="40"/>
      <c r="E120" s="34"/>
      <c r="F120" s="34"/>
      <c r="G120" s="34"/>
      <c r="H120" s="34"/>
      <c r="I120" s="34"/>
      <c r="J120" s="39"/>
      <c r="K120" s="34"/>
      <c r="L120" s="34"/>
      <c r="M120" s="34"/>
      <c r="N120" s="34"/>
      <c r="O120" s="34"/>
      <c r="P120" s="39"/>
      <c r="R120" s="40"/>
      <c r="S120" s="40"/>
      <c r="T120" s="40"/>
      <c r="U120" s="40"/>
    </row>
    <row r="121" spans="4:21" s="37" customFormat="1" ht="15.75" customHeight="1" x14ac:dyDescent="0.35">
      <c r="D121" s="40"/>
      <c r="E121" s="34"/>
      <c r="F121" s="34"/>
      <c r="G121" s="34"/>
      <c r="H121" s="34"/>
      <c r="I121" s="34"/>
      <c r="J121" s="39"/>
      <c r="K121" s="34"/>
      <c r="L121" s="34"/>
      <c r="M121" s="34"/>
      <c r="N121" s="34"/>
      <c r="O121" s="34"/>
      <c r="P121" s="39"/>
      <c r="R121" s="40"/>
      <c r="S121" s="40"/>
      <c r="T121" s="40"/>
      <c r="U121" s="40"/>
    </row>
    <row r="122" spans="4:21" s="37" customFormat="1" ht="15.75" customHeight="1" x14ac:dyDescent="0.35">
      <c r="D122" s="40"/>
      <c r="E122" s="34"/>
      <c r="F122" s="34"/>
      <c r="G122" s="34"/>
      <c r="H122" s="34"/>
      <c r="I122" s="34"/>
      <c r="J122" s="39"/>
      <c r="K122" s="34"/>
      <c r="L122" s="34"/>
      <c r="M122" s="34"/>
      <c r="N122" s="34"/>
      <c r="O122" s="34"/>
      <c r="P122" s="39"/>
      <c r="R122" s="40"/>
      <c r="S122" s="40"/>
      <c r="T122" s="40"/>
      <c r="U122" s="40"/>
    </row>
    <row r="123" spans="4:21" s="37" customFormat="1" ht="15.75" customHeight="1" x14ac:dyDescent="0.35">
      <c r="D123" s="40"/>
      <c r="E123" s="34"/>
      <c r="F123" s="34"/>
      <c r="G123" s="34"/>
      <c r="H123" s="34"/>
      <c r="I123" s="34"/>
      <c r="J123" s="39"/>
      <c r="K123" s="34"/>
      <c r="L123" s="34"/>
      <c r="M123" s="34"/>
      <c r="N123" s="34"/>
      <c r="O123" s="34"/>
      <c r="P123" s="39"/>
      <c r="R123" s="40"/>
      <c r="S123" s="40"/>
      <c r="T123" s="40"/>
      <c r="U123" s="40"/>
    </row>
    <row r="124" spans="4:21" s="37" customFormat="1" ht="15.75" customHeight="1" x14ac:dyDescent="0.35">
      <c r="D124" s="40"/>
      <c r="E124" s="34"/>
      <c r="F124" s="34"/>
      <c r="G124" s="34"/>
      <c r="H124" s="34"/>
      <c r="I124" s="34"/>
      <c r="J124" s="39"/>
      <c r="K124" s="34"/>
      <c r="L124" s="34"/>
      <c r="M124" s="34"/>
      <c r="N124" s="34"/>
      <c r="O124" s="34"/>
      <c r="P124" s="39"/>
      <c r="R124" s="40"/>
      <c r="S124" s="40"/>
      <c r="T124" s="40"/>
      <c r="U124" s="40"/>
    </row>
    <row r="125" spans="4:21" s="37" customFormat="1" ht="15.75" customHeight="1" x14ac:dyDescent="0.35">
      <c r="D125" s="40"/>
      <c r="E125" s="34"/>
      <c r="F125" s="34"/>
      <c r="G125" s="34"/>
      <c r="H125" s="34"/>
      <c r="I125" s="34"/>
      <c r="J125" s="39"/>
      <c r="K125" s="34"/>
      <c r="L125" s="34"/>
      <c r="M125" s="34"/>
      <c r="N125" s="34"/>
      <c r="O125" s="34"/>
      <c r="P125" s="39"/>
      <c r="R125" s="40"/>
      <c r="S125" s="40"/>
      <c r="T125" s="40"/>
      <c r="U125" s="40"/>
    </row>
    <row r="126" spans="4:21" s="37" customFormat="1" ht="15.75" customHeight="1" x14ac:dyDescent="0.35">
      <c r="D126" s="40"/>
      <c r="E126" s="34"/>
      <c r="F126" s="34"/>
      <c r="G126" s="34"/>
      <c r="H126" s="34"/>
      <c r="I126" s="34"/>
      <c r="J126" s="39"/>
      <c r="K126" s="34"/>
      <c r="L126" s="34"/>
      <c r="M126" s="34"/>
      <c r="N126" s="34"/>
      <c r="O126" s="34"/>
      <c r="P126" s="39"/>
      <c r="R126" s="40"/>
      <c r="S126" s="40"/>
      <c r="T126" s="40"/>
      <c r="U126" s="40"/>
    </row>
    <row r="127" spans="4:21" s="37" customFormat="1" ht="15.75" customHeight="1" x14ac:dyDescent="0.35">
      <c r="D127" s="40"/>
      <c r="E127" s="34"/>
      <c r="F127" s="34"/>
      <c r="G127" s="34"/>
      <c r="H127" s="34"/>
      <c r="I127" s="34"/>
      <c r="J127" s="39"/>
      <c r="K127" s="34"/>
      <c r="L127" s="34"/>
      <c r="M127" s="34"/>
      <c r="N127" s="34"/>
      <c r="O127" s="34"/>
      <c r="P127" s="39"/>
      <c r="R127" s="40"/>
      <c r="S127" s="40"/>
      <c r="T127" s="40"/>
      <c r="U127" s="40"/>
    </row>
    <row r="128" spans="4:21" s="37" customFormat="1" ht="15.75" customHeight="1" x14ac:dyDescent="0.35">
      <c r="D128" s="40"/>
      <c r="E128" s="34"/>
      <c r="F128" s="34"/>
      <c r="G128" s="34"/>
      <c r="H128" s="34"/>
      <c r="I128" s="34"/>
      <c r="J128" s="39"/>
      <c r="K128" s="34"/>
      <c r="L128" s="34"/>
      <c r="M128" s="34"/>
      <c r="N128" s="34"/>
      <c r="O128" s="34"/>
      <c r="P128" s="39"/>
      <c r="R128" s="40"/>
      <c r="S128" s="40"/>
      <c r="T128" s="40"/>
      <c r="U128" s="40"/>
    </row>
    <row r="129" spans="4:21" s="37" customFormat="1" ht="15.75" customHeight="1" x14ac:dyDescent="0.35">
      <c r="D129" s="40"/>
      <c r="E129" s="34"/>
      <c r="F129" s="34"/>
      <c r="G129" s="34"/>
      <c r="H129" s="34"/>
      <c r="I129" s="34"/>
      <c r="J129" s="39"/>
      <c r="K129" s="34"/>
      <c r="L129" s="34"/>
      <c r="M129" s="34"/>
      <c r="N129" s="34"/>
      <c r="O129" s="34"/>
      <c r="P129" s="39"/>
      <c r="R129" s="40"/>
      <c r="S129" s="40"/>
      <c r="T129" s="40"/>
      <c r="U129" s="40"/>
    </row>
    <row r="130" spans="4:21" s="37" customFormat="1" ht="15.75" customHeight="1" x14ac:dyDescent="0.35">
      <c r="D130" s="40"/>
      <c r="E130" s="34"/>
      <c r="F130" s="34"/>
      <c r="G130" s="34"/>
      <c r="H130" s="34"/>
      <c r="I130" s="34"/>
      <c r="J130" s="39"/>
      <c r="K130" s="34"/>
      <c r="L130" s="34"/>
      <c r="M130" s="34"/>
      <c r="N130" s="34"/>
      <c r="O130" s="34"/>
      <c r="P130" s="39"/>
      <c r="R130" s="40"/>
      <c r="S130" s="40"/>
      <c r="T130" s="40"/>
      <c r="U130" s="40"/>
    </row>
    <row r="131" spans="4:21" s="37" customFormat="1" ht="15.75" customHeight="1" x14ac:dyDescent="0.35">
      <c r="D131" s="40"/>
      <c r="E131" s="34"/>
      <c r="F131" s="34"/>
      <c r="G131" s="34"/>
      <c r="H131" s="34"/>
      <c r="I131" s="34"/>
      <c r="J131" s="39"/>
      <c r="K131" s="34"/>
      <c r="L131" s="34"/>
      <c r="M131" s="34"/>
      <c r="N131" s="34"/>
      <c r="O131" s="34"/>
      <c r="P131" s="39"/>
      <c r="R131" s="40"/>
      <c r="S131" s="40"/>
      <c r="T131" s="40"/>
      <c r="U131" s="40"/>
    </row>
    <row r="132" spans="4:21" s="37" customFormat="1" ht="15.75" customHeight="1" x14ac:dyDescent="0.35">
      <c r="D132" s="40"/>
      <c r="E132" s="34"/>
      <c r="F132" s="34"/>
      <c r="G132" s="34"/>
      <c r="H132" s="34"/>
      <c r="I132" s="34"/>
      <c r="J132" s="39"/>
      <c r="K132" s="34"/>
      <c r="L132" s="34"/>
      <c r="M132" s="34"/>
      <c r="N132" s="34"/>
      <c r="O132" s="34"/>
      <c r="P132" s="39"/>
      <c r="R132" s="40"/>
      <c r="S132" s="40"/>
      <c r="T132" s="40"/>
      <c r="U132" s="40"/>
    </row>
    <row r="133" spans="4:21" s="37" customFormat="1" ht="15.75" customHeight="1" x14ac:dyDescent="0.35">
      <c r="D133" s="40"/>
      <c r="E133" s="34"/>
      <c r="F133" s="34"/>
      <c r="G133" s="34"/>
      <c r="H133" s="34"/>
      <c r="I133" s="34"/>
      <c r="J133" s="39"/>
      <c r="K133" s="34"/>
      <c r="L133" s="34"/>
      <c r="M133" s="34"/>
      <c r="N133" s="34"/>
      <c r="O133" s="34"/>
      <c r="P133" s="39"/>
      <c r="R133" s="40"/>
      <c r="S133" s="40"/>
      <c r="T133" s="40"/>
      <c r="U133" s="40"/>
    </row>
    <row r="134" spans="4:21" s="37" customFormat="1" ht="15.75" customHeight="1" x14ac:dyDescent="0.35">
      <c r="D134" s="40"/>
      <c r="E134" s="34"/>
      <c r="F134" s="34"/>
      <c r="G134" s="34"/>
      <c r="H134" s="34"/>
      <c r="I134" s="34"/>
      <c r="J134" s="39"/>
      <c r="K134" s="34"/>
      <c r="L134" s="34"/>
      <c r="M134" s="34"/>
      <c r="N134" s="34"/>
      <c r="O134" s="34"/>
      <c r="P134" s="39"/>
      <c r="R134" s="40"/>
      <c r="S134" s="40"/>
      <c r="T134" s="40"/>
      <c r="U134" s="40"/>
    </row>
    <row r="135" spans="4:21" s="37" customFormat="1" ht="15.75" customHeight="1" x14ac:dyDescent="0.35">
      <c r="D135" s="40"/>
      <c r="E135" s="34"/>
      <c r="F135" s="34"/>
      <c r="G135" s="34"/>
      <c r="H135" s="34"/>
      <c r="I135" s="34"/>
      <c r="J135" s="39"/>
      <c r="K135" s="34"/>
      <c r="L135" s="34"/>
      <c r="M135" s="34"/>
      <c r="N135" s="34"/>
      <c r="O135" s="34"/>
      <c r="P135" s="39"/>
      <c r="R135" s="40"/>
      <c r="S135" s="40"/>
      <c r="T135" s="40"/>
      <c r="U135" s="40"/>
    </row>
    <row r="136" spans="4:21" s="37" customFormat="1" ht="15.75" customHeight="1" x14ac:dyDescent="0.35">
      <c r="D136" s="40"/>
      <c r="E136" s="34"/>
      <c r="F136" s="34"/>
      <c r="G136" s="34"/>
      <c r="H136" s="34"/>
      <c r="I136" s="34"/>
      <c r="J136" s="39"/>
      <c r="K136" s="34"/>
      <c r="L136" s="34"/>
      <c r="M136" s="34"/>
      <c r="N136" s="34"/>
      <c r="O136" s="34"/>
      <c r="P136" s="39"/>
      <c r="R136" s="40"/>
      <c r="S136" s="40"/>
      <c r="T136" s="40"/>
      <c r="U136" s="40"/>
    </row>
    <row r="137" spans="4:21" s="37" customFormat="1" ht="15.75" customHeight="1" x14ac:dyDescent="0.35">
      <c r="D137" s="40"/>
      <c r="E137" s="34"/>
      <c r="F137" s="34"/>
      <c r="G137" s="34"/>
      <c r="H137" s="34"/>
      <c r="I137" s="34"/>
      <c r="J137" s="39"/>
      <c r="K137" s="34"/>
      <c r="L137" s="34"/>
      <c r="M137" s="34"/>
      <c r="N137" s="34"/>
      <c r="O137" s="34"/>
      <c r="P137" s="39"/>
      <c r="R137" s="40"/>
      <c r="S137" s="40"/>
      <c r="T137" s="40"/>
      <c r="U137" s="40"/>
    </row>
    <row r="138" spans="4:21" s="37" customFormat="1" ht="15.75" customHeight="1" x14ac:dyDescent="0.35">
      <c r="D138" s="40"/>
      <c r="E138" s="34"/>
      <c r="F138" s="34"/>
      <c r="G138" s="34"/>
      <c r="H138" s="34"/>
      <c r="I138" s="34"/>
      <c r="J138" s="39"/>
      <c r="K138" s="34"/>
      <c r="L138" s="34"/>
      <c r="M138" s="34"/>
      <c r="N138" s="34"/>
      <c r="O138" s="34"/>
      <c r="P138" s="39"/>
      <c r="R138" s="40"/>
      <c r="S138" s="40"/>
      <c r="T138" s="40"/>
      <c r="U138" s="40"/>
    </row>
    <row r="139" spans="4:21" s="37" customFormat="1" ht="15.75" customHeight="1" x14ac:dyDescent="0.35">
      <c r="D139" s="40"/>
      <c r="E139" s="34"/>
      <c r="F139" s="34"/>
      <c r="G139" s="34"/>
      <c r="H139" s="34"/>
      <c r="I139" s="34"/>
      <c r="J139" s="39"/>
      <c r="K139" s="34"/>
      <c r="L139" s="34"/>
      <c r="M139" s="34"/>
      <c r="N139" s="34"/>
      <c r="O139" s="34"/>
      <c r="P139" s="39"/>
      <c r="R139" s="40"/>
      <c r="S139" s="40"/>
      <c r="T139" s="40"/>
      <c r="U139" s="40"/>
    </row>
    <row r="140" spans="4:21" s="37" customFormat="1" ht="15.75" customHeight="1" x14ac:dyDescent="0.35">
      <c r="D140" s="40"/>
      <c r="E140" s="34"/>
      <c r="F140" s="34"/>
      <c r="G140" s="34"/>
      <c r="H140" s="34"/>
      <c r="I140" s="34"/>
      <c r="J140" s="39"/>
      <c r="K140" s="34"/>
      <c r="L140" s="34"/>
      <c r="M140" s="34"/>
      <c r="N140" s="34"/>
      <c r="O140" s="34"/>
      <c r="P140" s="39"/>
      <c r="R140" s="40"/>
      <c r="S140" s="40"/>
      <c r="T140" s="40"/>
      <c r="U140" s="40"/>
    </row>
    <row r="141" spans="4:21" s="37" customFormat="1" ht="15.75" customHeight="1" x14ac:dyDescent="0.35">
      <c r="D141" s="40"/>
      <c r="E141" s="34"/>
      <c r="F141" s="34"/>
      <c r="G141" s="34"/>
      <c r="H141" s="34"/>
      <c r="I141" s="34"/>
      <c r="J141" s="39"/>
      <c r="K141" s="34"/>
      <c r="L141" s="34"/>
      <c r="M141" s="34"/>
      <c r="N141" s="34"/>
      <c r="O141" s="34"/>
      <c r="P141" s="39"/>
      <c r="R141" s="40"/>
      <c r="S141" s="40"/>
      <c r="T141" s="40"/>
      <c r="U141" s="40"/>
    </row>
    <row r="142" spans="4:21" s="37" customFormat="1" ht="15.75" customHeight="1" x14ac:dyDescent="0.35">
      <c r="D142" s="40"/>
      <c r="E142" s="34"/>
      <c r="F142" s="34"/>
      <c r="G142" s="34"/>
      <c r="H142" s="34"/>
      <c r="I142" s="34"/>
      <c r="J142" s="39"/>
      <c r="K142" s="34"/>
      <c r="L142" s="34"/>
      <c r="M142" s="34"/>
      <c r="N142" s="34"/>
      <c r="O142" s="34"/>
      <c r="P142" s="39"/>
      <c r="R142" s="40"/>
      <c r="S142" s="40"/>
      <c r="T142" s="40"/>
      <c r="U142" s="40"/>
    </row>
    <row r="143" spans="4:21" s="37" customFormat="1" ht="15.75" customHeight="1" x14ac:dyDescent="0.35">
      <c r="D143" s="40"/>
      <c r="E143" s="34"/>
      <c r="F143" s="34"/>
      <c r="G143" s="34"/>
      <c r="H143" s="34"/>
      <c r="I143" s="34"/>
      <c r="J143" s="39"/>
      <c r="K143" s="34"/>
      <c r="L143" s="34"/>
      <c r="M143" s="34"/>
      <c r="N143" s="34"/>
      <c r="O143" s="34"/>
      <c r="P143" s="39"/>
      <c r="R143" s="40"/>
      <c r="S143" s="40"/>
      <c r="T143" s="40"/>
      <c r="U143" s="40"/>
    </row>
    <row r="144" spans="4:21" s="37" customFormat="1" ht="15.75" customHeight="1" x14ac:dyDescent="0.35">
      <c r="D144" s="40"/>
      <c r="E144" s="34"/>
      <c r="F144" s="34"/>
      <c r="G144" s="34"/>
      <c r="H144" s="34"/>
      <c r="I144" s="34"/>
      <c r="J144" s="39"/>
      <c r="K144" s="34"/>
      <c r="L144" s="34"/>
      <c r="M144" s="34"/>
      <c r="N144" s="34"/>
      <c r="O144" s="34"/>
      <c r="P144" s="39"/>
      <c r="R144" s="40"/>
      <c r="S144" s="40"/>
      <c r="T144" s="40"/>
      <c r="U144" s="40"/>
    </row>
    <row r="145" spans="4:21" s="37" customFormat="1" ht="15.75" customHeight="1" x14ac:dyDescent="0.35">
      <c r="D145" s="40"/>
      <c r="E145" s="34"/>
      <c r="F145" s="34"/>
      <c r="G145" s="34"/>
      <c r="H145" s="34"/>
      <c r="I145" s="34"/>
      <c r="J145" s="39"/>
      <c r="K145" s="34"/>
      <c r="L145" s="34"/>
      <c r="M145" s="34"/>
      <c r="N145" s="34"/>
      <c r="O145" s="34"/>
      <c r="P145" s="39"/>
      <c r="R145" s="40"/>
      <c r="S145" s="40"/>
      <c r="T145" s="40"/>
      <c r="U145" s="40"/>
    </row>
    <row r="146" spans="4:21" s="37" customFormat="1" ht="15.75" customHeight="1" x14ac:dyDescent="0.35">
      <c r="D146" s="40"/>
      <c r="E146" s="34"/>
      <c r="F146" s="34"/>
      <c r="G146" s="34"/>
      <c r="H146" s="34"/>
      <c r="I146" s="34"/>
      <c r="J146" s="39"/>
      <c r="K146" s="34"/>
      <c r="L146" s="34"/>
      <c r="M146" s="34"/>
      <c r="N146" s="34"/>
      <c r="O146" s="34"/>
      <c r="P146" s="39"/>
      <c r="R146" s="40"/>
      <c r="S146" s="40"/>
      <c r="T146" s="40"/>
      <c r="U146" s="40"/>
    </row>
    <row r="147" spans="4:21" s="37" customFormat="1" ht="15.75" customHeight="1" x14ac:dyDescent="0.35">
      <c r="D147" s="40"/>
      <c r="E147" s="34"/>
      <c r="F147" s="34"/>
      <c r="G147" s="34"/>
      <c r="H147" s="34"/>
      <c r="I147" s="34"/>
      <c r="J147" s="39"/>
      <c r="K147" s="34"/>
      <c r="L147" s="34"/>
      <c r="M147" s="34"/>
      <c r="N147" s="34"/>
      <c r="O147" s="34"/>
      <c r="P147" s="39"/>
      <c r="R147" s="40"/>
      <c r="S147" s="40"/>
      <c r="T147" s="40"/>
      <c r="U147" s="40"/>
    </row>
    <row r="148" spans="4:21" s="37" customFormat="1" ht="15.75" customHeight="1" x14ac:dyDescent="0.35">
      <c r="D148" s="40"/>
      <c r="E148" s="34"/>
      <c r="F148" s="34"/>
      <c r="G148" s="34"/>
      <c r="H148" s="34"/>
      <c r="I148" s="34"/>
      <c r="J148" s="39"/>
      <c r="K148" s="34"/>
      <c r="L148" s="34"/>
      <c r="M148" s="34"/>
      <c r="N148" s="34"/>
      <c r="O148" s="34"/>
      <c r="P148" s="39"/>
      <c r="R148" s="40"/>
      <c r="S148" s="40"/>
      <c r="T148" s="40"/>
      <c r="U148" s="40"/>
    </row>
    <row r="149" spans="4:21" s="37" customFormat="1" ht="15.75" customHeight="1" x14ac:dyDescent="0.35">
      <c r="D149" s="40"/>
      <c r="E149" s="34"/>
      <c r="F149" s="34"/>
      <c r="G149" s="34"/>
      <c r="H149" s="34"/>
      <c r="I149" s="34"/>
      <c r="J149" s="39"/>
      <c r="K149" s="34"/>
      <c r="L149" s="34"/>
      <c r="M149" s="34"/>
      <c r="N149" s="34"/>
      <c r="O149" s="34"/>
      <c r="P149" s="39"/>
      <c r="R149" s="40"/>
      <c r="S149" s="40"/>
      <c r="T149" s="40"/>
      <c r="U149" s="40"/>
    </row>
    <row r="150" spans="4:21" s="37" customFormat="1" ht="15.75" customHeight="1" x14ac:dyDescent="0.35">
      <c r="D150" s="40"/>
      <c r="E150" s="34"/>
      <c r="F150" s="34"/>
      <c r="G150" s="34"/>
      <c r="H150" s="34"/>
      <c r="I150" s="34"/>
      <c r="J150" s="39"/>
      <c r="K150" s="34"/>
      <c r="L150" s="34"/>
      <c r="M150" s="34"/>
      <c r="N150" s="34"/>
      <c r="O150" s="34"/>
      <c r="P150" s="39"/>
      <c r="R150" s="40"/>
      <c r="S150" s="40"/>
      <c r="T150" s="40"/>
      <c r="U150" s="40"/>
    </row>
    <row r="151" spans="4:21" s="37" customFormat="1" ht="15.75" customHeight="1" x14ac:dyDescent="0.35">
      <c r="D151" s="40"/>
      <c r="E151" s="34"/>
      <c r="F151" s="34"/>
      <c r="G151" s="34"/>
      <c r="H151" s="34"/>
      <c r="I151" s="34"/>
      <c r="J151" s="39"/>
      <c r="K151" s="34"/>
      <c r="L151" s="34"/>
      <c r="M151" s="34"/>
      <c r="N151" s="34"/>
      <c r="O151" s="34"/>
      <c r="P151" s="39"/>
      <c r="R151" s="40"/>
      <c r="S151" s="40"/>
      <c r="T151" s="40"/>
      <c r="U151" s="40"/>
    </row>
    <row r="152" spans="4:21" s="37" customFormat="1" ht="15.75" customHeight="1" x14ac:dyDescent="0.35">
      <c r="D152" s="40"/>
      <c r="E152" s="34"/>
      <c r="F152" s="34"/>
      <c r="G152" s="34"/>
      <c r="H152" s="34"/>
      <c r="I152" s="34"/>
      <c r="J152" s="39"/>
      <c r="K152" s="34"/>
      <c r="L152" s="34"/>
      <c r="M152" s="34"/>
      <c r="N152" s="34"/>
      <c r="O152" s="34"/>
      <c r="P152" s="39"/>
      <c r="R152" s="40"/>
      <c r="S152" s="40"/>
      <c r="T152" s="40"/>
      <c r="U152" s="40"/>
    </row>
    <row r="153" spans="4:21" s="37" customFormat="1" ht="15.75" customHeight="1" x14ac:dyDescent="0.35">
      <c r="D153" s="40"/>
      <c r="E153" s="34"/>
      <c r="F153" s="34"/>
      <c r="G153" s="34"/>
      <c r="H153" s="34"/>
      <c r="I153" s="34"/>
      <c r="J153" s="39"/>
      <c r="K153" s="34"/>
      <c r="L153" s="34"/>
      <c r="M153" s="34"/>
      <c r="N153" s="34"/>
      <c r="O153" s="34"/>
      <c r="P153" s="39"/>
      <c r="R153" s="40"/>
      <c r="S153" s="40"/>
      <c r="T153" s="40"/>
      <c r="U153" s="40"/>
    </row>
    <row r="154" spans="4:21" s="37" customFormat="1" ht="15.75" customHeight="1" x14ac:dyDescent="0.35">
      <c r="D154" s="40"/>
      <c r="E154" s="34"/>
      <c r="F154" s="34"/>
      <c r="G154" s="34"/>
      <c r="H154" s="34"/>
      <c r="I154" s="34"/>
      <c r="J154" s="39"/>
      <c r="K154" s="34"/>
      <c r="L154" s="34"/>
      <c r="M154" s="34"/>
      <c r="N154" s="34"/>
      <c r="O154" s="34"/>
      <c r="P154" s="39"/>
      <c r="R154" s="40"/>
      <c r="S154" s="40"/>
      <c r="T154" s="40"/>
      <c r="U154" s="40"/>
    </row>
    <row r="155" spans="4:21" s="37" customFormat="1" ht="15.75" customHeight="1" x14ac:dyDescent="0.35">
      <c r="D155" s="40"/>
      <c r="E155" s="34"/>
      <c r="F155" s="34"/>
      <c r="G155" s="34"/>
      <c r="H155" s="34"/>
      <c r="I155" s="34"/>
      <c r="J155" s="39"/>
      <c r="K155" s="34"/>
      <c r="L155" s="34"/>
      <c r="M155" s="34"/>
      <c r="N155" s="34"/>
      <c r="O155" s="34"/>
      <c r="P155" s="39"/>
      <c r="R155" s="40"/>
      <c r="S155" s="40"/>
      <c r="T155" s="40"/>
      <c r="U155" s="40"/>
    </row>
    <row r="156" spans="4:21" s="37" customFormat="1" ht="15.75" customHeight="1" x14ac:dyDescent="0.35">
      <c r="D156" s="40"/>
      <c r="E156" s="34"/>
      <c r="F156" s="34"/>
      <c r="G156" s="34"/>
      <c r="H156" s="34"/>
      <c r="I156" s="34"/>
      <c r="J156" s="39"/>
      <c r="K156" s="34"/>
      <c r="L156" s="34"/>
      <c r="M156" s="34"/>
      <c r="N156" s="34"/>
      <c r="O156" s="34"/>
      <c r="P156" s="39"/>
      <c r="R156" s="40"/>
      <c r="S156" s="40"/>
      <c r="T156" s="40"/>
      <c r="U156" s="40"/>
    </row>
    <row r="157" spans="4:21" s="37" customFormat="1" ht="15.75" customHeight="1" x14ac:dyDescent="0.35">
      <c r="D157" s="40"/>
      <c r="E157" s="34"/>
      <c r="F157" s="34"/>
      <c r="G157" s="34"/>
      <c r="H157" s="34"/>
      <c r="I157" s="34"/>
      <c r="J157" s="39"/>
      <c r="K157" s="34"/>
      <c r="L157" s="34"/>
      <c r="M157" s="34"/>
      <c r="N157" s="34"/>
      <c r="O157" s="34"/>
      <c r="P157" s="39"/>
      <c r="R157" s="40"/>
      <c r="S157" s="40"/>
      <c r="T157" s="40"/>
      <c r="U157" s="40"/>
    </row>
    <row r="158" spans="4:21" s="37" customFormat="1" ht="15.75" customHeight="1" x14ac:dyDescent="0.35">
      <c r="D158" s="40"/>
      <c r="E158" s="34"/>
      <c r="F158" s="34"/>
      <c r="G158" s="34"/>
      <c r="H158" s="34"/>
      <c r="I158" s="34"/>
      <c r="J158" s="39"/>
      <c r="K158" s="34"/>
      <c r="L158" s="34"/>
      <c r="M158" s="34"/>
      <c r="N158" s="34"/>
      <c r="O158" s="34"/>
      <c r="P158" s="39"/>
      <c r="R158" s="40"/>
      <c r="S158" s="40"/>
      <c r="T158" s="40"/>
      <c r="U158" s="40"/>
    </row>
    <row r="159" spans="4:21" s="37" customFormat="1" ht="15.75" customHeight="1" x14ac:dyDescent="0.35">
      <c r="D159" s="40"/>
      <c r="E159" s="34"/>
      <c r="F159" s="34"/>
      <c r="G159" s="34"/>
      <c r="H159" s="34"/>
      <c r="I159" s="34"/>
      <c r="J159" s="39"/>
      <c r="K159" s="34"/>
      <c r="L159" s="34"/>
      <c r="M159" s="34"/>
      <c r="N159" s="34"/>
      <c r="O159" s="34"/>
      <c r="P159" s="39"/>
      <c r="R159" s="40"/>
      <c r="S159" s="40"/>
      <c r="T159" s="40"/>
      <c r="U159" s="40"/>
    </row>
    <row r="160" spans="4:21" s="37" customFormat="1" ht="15.75" customHeight="1" x14ac:dyDescent="0.35">
      <c r="D160" s="40"/>
      <c r="E160" s="34"/>
      <c r="F160" s="34"/>
      <c r="G160" s="34"/>
      <c r="H160" s="34"/>
      <c r="I160" s="34"/>
      <c r="J160" s="39"/>
      <c r="K160" s="34"/>
      <c r="L160" s="34"/>
      <c r="M160" s="34"/>
      <c r="N160" s="34"/>
      <c r="O160" s="34"/>
      <c r="P160" s="39"/>
      <c r="R160" s="40"/>
      <c r="S160" s="40"/>
      <c r="T160" s="40"/>
      <c r="U160" s="40"/>
    </row>
    <row r="161" spans="4:21" s="37" customFormat="1" ht="15.75" customHeight="1" x14ac:dyDescent="0.35">
      <c r="D161" s="40"/>
      <c r="E161" s="34"/>
      <c r="F161" s="34"/>
      <c r="G161" s="34"/>
      <c r="H161" s="34"/>
      <c r="I161" s="34"/>
      <c r="J161" s="39"/>
      <c r="K161" s="34"/>
      <c r="L161" s="34"/>
      <c r="M161" s="34"/>
      <c r="N161" s="34"/>
      <c r="O161" s="34"/>
      <c r="P161" s="39"/>
      <c r="R161" s="40"/>
      <c r="S161" s="40"/>
      <c r="T161" s="40"/>
      <c r="U161" s="40"/>
    </row>
    <row r="162" spans="4:21" s="37" customFormat="1" ht="15.75" customHeight="1" x14ac:dyDescent="0.35">
      <c r="D162" s="40"/>
      <c r="E162" s="34"/>
      <c r="F162" s="34"/>
      <c r="G162" s="34"/>
      <c r="H162" s="34"/>
      <c r="I162" s="34"/>
      <c r="J162" s="39"/>
      <c r="K162" s="34"/>
      <c r="L162" s="34"/>
      <c r="M162" s="34"/>
      <c r="N162" s="34"/>
      <c r="O162" s="34"/>
      <c r="P162" s="39"/>
      <c r="R162" s="40"/>
      <c r="S162" s="40"/>
      <c r="T162" s="40"/>
      <c r="U162" s="40"/>
    </row>
    <row r="163" spans="4:21" s="37" customFormat="1" ht="15.75" customHeight="1" x14ac:dyDescent="0.35">
      <c r="D163" s="40"/>
      <c r="E163" s="34"/>
      <c r="F163" s="34"/>
      <c r="G163" s="34"/>
      <c r="H163" s="34"/>
      <c r="I163" s="34"/>
      <c r="J163" s="39"/>
      <c r="K163" s="34"/>
      <c r="L163" s="34"/>
      <c r="M163" s="34"/>
      <c r="N163" s="34"/>
      <c r="O163" s="34"/>
      <c r="P163" s="39"/>
      <c r="R163" s="40"/>
      <c r="S163" s="40"/>
      <c r="T163" s="40"/>
      <c r="U163" s="40"/>
    </row>
    <row r="164" spans="4:21" s="37" customFormat="1" ht="15.75" customHeight="1" x14ac:dyDescent="0.35">
      <c r="D164" s="40"/>
      <c r="E164" s="34"/>
      <c r="F164" s="34"/>
      <c r="G164" s="34"/>
      <c r="H164" s="34"/>
      <c r="I164" s="34"/>
      <c r="J164" s="39"/>
      <c r="K164" s="34"/>
      <c r="L164" s="34"/>
      <c r="M164" s="34"/>
      <c r="N164" s="34"/>
      <c r="O164" s="34"/>
      <c r="P164" s="39"/>
      <c r="R164" s="40"/>
      <c r="S164" s="40"/>
      <c r="T164" s="40"/>
      <c r="U164" s="40"/>
    </row>
    <row r="165" spans="4:21" s="37" customFormat="1" ht="15.75" customHeight="1" x14ac:dyDescent="0.35">
      <c r="D165" s="40"/>
      <c r="E165" s="34"/>
      <c r="F165" s="34"/>
      <c r="G165" s="34"/>
      <c r="H165" s="34"/>
      <c r="I165" s="34"/>
      <c r="J165" s="39"/>
      <c r="K165" s="34"/>
      <c r="L165" s="34"/>
      <c r="M165" s="34"/>
      <c r="N165" s="34"/>
      <c r="O165" s="34"/>
      <c r="P165" s="39"/>
      <c r="R165" s="40"/>
      <c r="S165" s="40"/>
      <c r="T165" s="40"/>
      <c r="U165" s="40"/>
    </row>
    <row r="166" spans="4:21" s="37" customFormat="1" ht="15.75" customHeight="1" x14ac:dyDescent="0.35">
      <c r="D166" s="40"/>
      <c r="E166" s="34"/>
      <c r="F166" s="34"/>
      <c r="G166" s="34"/>
      <c r="H166" s="34"/>
      <c r="I166" s="34"/>
      <c r="J166" s="39"/>
      <c r="K166" s="34"/>
      <c r="L166" s="34"/>
      <c r="M166" s="34"/>
      <c r="N166" s="34"/>
      <c r="O166" s="34"/>
      <c r="P166" s="39"/>
      <c r="R166" s="40"/>
      <c r="S166" s="40"/>
      <c r="T166" s="40"/>
      <c r="U166" s="40"/>
    </row>
    <row r="167" spans="4:21" s="37" customFormat="1" ht="15.75" customHeight="1" x14ac:dyDescent="0.35">
      <c r="D167" s="40"/>
      <c r="E167" s="34"/>
      <c r="F167" s="34"/>
      <c r="G167" s="34"/>
      <c r="H167" s="34"/>
      <c r="I167" s="34"/>
      <c r="J167" s="39"/>
      <c r="K167" s="34"/>
      <c r="L167" s="34"/>
      <c r="M167" s="34"/>
      <c r="N167" s="34"/>
      <c r="O167" s="34"/>
      <c r="P167" s="39"/>
      <c r="R167" s="40"/>
      <c r="S167" s="40"/>
      <c r="T167" s="40"/>
      <c r="U167" s="40"/>
    </row>
    <row r="168" spans="4:21" s="37" customFormat="1" ht="15.75" customHeight="1" x14ac:dyDescent="0.35">
      <c r="D168" s="40"/>
      <c r="E168" s="34"/>
      <c r="F168" s="34"/>
      <c r="G168" s="34"/>
      <c r="H168" s="34"/>
      <c r="I168" s="34"/>
      <c r="J168" s="39"/>
      <c r="K168" s="34"/>
      <c r="L168" s="34"/>
      <c r="M168" s="34"/>
      <c r="N168" s="34"/>
      <c r="O168" s="34"/>
      <c r="P168" s="39"/>
      <c r="R168" s="40"/>
      <c r="S168" s="40"/>
      <c r="T168" s="40"/>
      <c r="U168" s="40"/>
    </row>
    <row r="169" spans="4:21" s="37" customFormat="1" ht="15.75" customHeight="1" x14ac:dyDescent="0.35">
      <c r="D169" s="40"/>
      <c r="E169" s="34"/>
      <c r="F169" s="34"/>
      <c r="G169" s="34"/>
      <c r="H169" s="34"/>
      <c r="I169" s="34"/>
      <c r="J169" s="39"/>
      <c r="K169" s="34"/>
      <c r="L169" s="34"/>
      <c r="M169" s="34"/>
      <c r="N169" s="34"/>
      <c r="O169" s="34"/>
      <c r="P169" s="39"/>
      <c r="R169" s="40"/>
      <c r="S169" s="40"/>
      <c r="T169" s="40"/>
      <c r="U169" s="40"/>
    </row>
    <row r="170" spans="4:21" s="37" customFormat="1" ht="15.75" customHeight="1" x14ac:dyDescent="0.35">
      <c r="D170" s="40"/>
      <c r="E170" s="34"/>
      <c r="F170" s="34"/>
      <c r="G170" s="34"/>
      <c r="H170" s="34"/>
      <c r="I170" s="34"/>
      <c r="J170" s="39"/>
      <c r="K170" s="34"/>
      <c r="L170" s="34"/>
      <c r="M170" s="34"/>
      <c r="N170" s="34"/>
      <c r="O170" s="34"/>
      <c r="P170" s="39"/>
      <c r="R170" s="40"/>
      <c r="S170" s="40"/>
      <c r="T170" s="40"/>
      <c r="U170" s="40"/>
    </row>
    <row r="171" spans="4:21" s="37" customFormat="1" ht="15.75" customHeight="1" x14ac:dyDescent="0.35">
      <c r="D171" s="40"/>
      <c r="E171" s="34"/>
      <c r="F171" s="34"/>
      <c r="G171" s="34"/>
      <c r="H171" s="34"/>
      <c r="I171" s="34"/>
      <c r="J171" s="39"/>
      <c r="K171" s="34"/>
      <c r="L171" s="34"/>
      <c r="M171" s="34"/>
      <c r="N171" s="34"/>
      <c r="O171" s="34"/>
      <c r="P171" s="39"/>
      <c r="R171" s="40"/>
      <c r="S171" s="40"/>
      <c r="T171" s="40"/>
      <c r="U171" s="40"/>
    </row>
    <row r="172" spans="4:21" s="37" customFormat="1" ht="15.75" customHeight="1" x14ac:dyDescent="0.35">
      <c r="D172" s="40"/>
      <c r="E172" s="34"/>
      <c r="F172" s="34"/>
      <c r="G172" s="34"/>
      <c r="H172" s="34"/>
      <c r="I172" s="34"/>
      <c r="J172" s="39"/>
      <c r="K172" s="34"/>
      <c r="L172" s="34"/>
      <c r="M172" s="34"/>
      <c r="N172" s="34"/>
      <c r="O172" s="34"/>
      <c r="P172" s="39"/>
      <c r="R172" s="40"/>
      <c r="S172" s="40"/>
      <c r="T172" s="40"/>
      <c r="U172" s="40"/>
    </row>
    <row r="173" spans="4:21" s="37" customFormat="1" ht="15.75" customHeight="1" x14ac:dyDescent="0.35">
      <c r="D173" s="40"/>
      <c r="E173" s="34"/>
      <c r="F173" s="34"/>
      <c r="G173" s="34"/>
      <c r="H173" s="34"/>
      <c r="I173" s="34"/>
      <c r="J173" s="39"/>
      <c r="K173" s="34"/>
      <c r="L173" s="34"/>
      <c r="M173" s="34"/>
      <c r="N173" s="34"/>
      <c r="O173" s="34"/>
      <c r="P173" s="39"/>
      <c r="R173" s="40"/>
      <c r="S173" s="40"/>
      <c r="T173" s="40"/>
      <c r="U173" s="40"/>
    </row>
    <row r="174" spans="4:21" s="37" customFormat="1" ht="15.75" customHeight="1" x14ac:dyDescent="0.35">
      <c r="D174" s="40"/>
      <c r="E174" s="34"/>
      <c r="F174" s="34"/>
      <c r="G174" s="34"/>
      <c r="H174" s="34"/>
      <c r="I174" s="34"/>
      <c r="J174" s="39"/>
      <c r="K174" s="34"/>
      <c r="L174" s="34"/>
      <c r="M174" s="34"/>
      <c r="N174" s="34"/>
      <c r="O174" s="34"/>
      <c r="P174" s="39"/>
      <c r="R174" s="40"/>
      <c r="S174" s="40"/>
      <c r="T174" s="40"/>
      <c r="U174" s="40"/>
    </row>
    <row r="175" spans="4:21" s="37" customFormat="1" ht="15.75" customHeight="1" x14ac:dyDescent="0.35">
      <c r="D175" s="40"/>
      <c r="E175" s="34"/>
      <c r="F175" s="34"/>
      <c r="G175" s="34"/>
      <c r="H175" s="34"/>
      <c r="I175" s="34"/>
      <c r="J175" s="39"/>
      <c r="K175" s="34"/>
      <c r="L175" s="34"/>
      <c r="M175" s="34"/>
      <c r="N175" s="34"/>
      <c r="O175" s="34"/>
      <c r="P175" s="39"/>
      <c r="R175" s="40"/>
      <c r="S175" s="40"/>
      <c r="T175" s="40"/>
      <c r="U175" s="40"/>
    </row>
    <row r="176" spans="4:21" s="37" customFormat="1" ht="15.75" customHeight="1" x14ac:dyDescent="0.35">
      <c r="D176" s="40"/>
      <c r="E176" s="34"/>
      <c r="F176" s="34"/>
      <c r="G176" s="34"/>
      <c r="H176" s="34"/>
      <c r="I176" s="34"/>
      <c r="J176" s="39"/>
      <c r="K176" s="34"/>
      <c r="L176" s="34"/>
      <c r="M176" s="34"/>
      <c r="N176" s="34"/>
      <c r="O176" s="34"/>
      <c r="P176" s="39"/>
      <c r="R176" s="40"/>
      <c r="S176" s="40"/>
      <c r="T176" s="40"/>
      <c r="U176" s="40"/>
    </row>
    <row r="177" spans="4:21" s="37" customFormat="1" ht="15.75" customHeight="1" x14ac:dyDescent="0.35">
      <c r="D177" s="40"/>
      <c r="E177" s="34"/>
      <c r="F177" s="34"/>
      <c r="G177" s="34"/>
      <c r="H177" s="34"/>
      <c r="I177" s="34"/>
      <c r="J177" s="39"/>
      <c r="K177" s="34"/>
      <c r="L177" s="34"/>
      <c r="M177" s="34"/>
      <c r="N177" s="34"/>
      <c r="O177" s="34"/>
      <c r="P177" s="39"/>
      <c r="R177" s="40"/>
      <c r="S177" s="40"/>
      <c r="T177" s="40"/>
      <c r="U177" s="40"/>
    </row>
    <row r="178" spans="4:21" s="37" customFormat="1" ht="15.75" customHeight="1" x14ac:dyDescent="0.35">
      <c r="D178" s="40"/>
      <c r="E178" s="34"/>
      <c r="F178" s="34"/>
      <c r="G178" s="34"/>
      <c r="H178" s="34"/>
      <c r="I178" s="34"/>
      <c r="J178" s="39"/>
      <c r="K178" s="34"/>
      <c r="L178" s="34"/>
      <c r="M178" s="34"/>
      <c r="N178" s="34"/>
      <c r="O178" s="34"/>
      <c r="P178" s="39"/>
      <c r="R178" s="40"/>
      <c r="S178" s="40"/>
      <c r="T178" s="40"/>
      <c r="U178" s="40"/>
    </row>
    <row r="179" spans="4:21" s="37" customFormat="1" ht="15.75" customHeight="1" x14ac:dyDescent="0.35">
      <c r="D179" s="40"/>
      <c r="E179" s="34"/>
      <c r="F179" s="34"/>
      <c r="G179" s="34"/>
      <c r="H179" s="34"/>
      <c r="I179" s="34"/>
      <c r="J179" s="39"/>
      <c r="K179" s="34"/>
      <c r="L179" s="34"/>
      <c r="M179" s="34"/>
      <c r="N179" s="34"/>
      <c r="O179" s="34"/>
      <c r="P179" s="39"/>
      <c r="R179" s="40"/>
      <c r="S179" s="40"/>
      <c r="T179" s="40"/>
      <c r="U179" s="40"/>
    </row>
    <row r="180" spans="4:21" s="37" customFormat="1" ht="15.75" customHeight="1" x14ac:dyDescent="0.35">
      <c r="D180" s="40"/>
      <c r="E180" s="34"/>
      <c r="F180" s="34"/>
      <c r="G180" s="34"/>
      <c r="H180" s="34"/>
      <c r="I180" s="34"/>
      <c r="J180" s="39"/>
      <c r="K180" s="34"/>
      <c r="L180" s="34"/>
      <c r="M180" s="34"/>
      <c r="N180" s="34"/>
      <c r="O180" s="34"/>
      <c r="P180" s="39"/>
      <c r="R180" s="40"/>
      <c r="S180" s="40"/>
      <c r="T180" s="40"/>
      <c r="U180" s="40"/>
    </row>
    <row r="181" spans="4:21" s="37" customFormat="1" ht="15.75" customHeight="1" x14ac:dyDescent="0.35">
      <c r="D181" s="40"/>
      <c r="E181" s="34"/>
      <c r="F181" s="34"/>
      <c r="G181" s="34"/>
      <c r="H181" s="34"/>
      <c r="I181" s="34"/>
      <c r="J181" s="39"/>
      <c r="K181" s="34"/>
      <c r="L181" s="34"/>
      <c r="M181" s="34"/>
      <c r="N181" s="34"/>
      <c r="O181" s="34"/>
      <c r="P181" s="39"/>
      <c r="R181" s="40"/>
      <c r="S181" s="40"/>
      <c r="T181" s="40"/>
      <c r="U181" s="40"/>
    </row>
    <row r="182" spans="4:21" s="37" customFormat="1" ht="15.75" customHeight="1" x14ac:dyDescent="0.35">
      <c r="D182" s="40"/>
      <c r="E182" s="34"/>
      <c r="F182" s="34"/>
      <c r="G182" s="34"/>
      <c r="H182" s="34"/>
      <c r="I182" s="34"/>
      <c r="J182" s="39"/>
      <c r="K182" s="34"/>
      <c r="L182" s="34"/>
      <c r="M182" s="34"/>
      <c r="N182" s="34"/>
      <c r="O182" s="34"/>
      <c r="P182" s="39"/>
      <c r="R182" s="40"/>
      <c r="S182" s="40"/>
      <c r="T182" s="40"/>
      <c r="U182" s="40"/>
    </row>
    <row r="183" spans="4:21" s="37" customFormat="1" ht="15.75" customHeight="1" x14ac:dyDescent="0.35">
      <c r="D183" s="40"/>
      <c r="E183" s="34"/>
      <c r="F183" s="34"/>
      <c r="G183" s="34"/>
      <c r="H183" s="34"/>
      <c r="I183" s="34"/>
      <c r="J183" s="39"/>
      <c r="K183" s="34"/>
      <c r="L183" s="34"/>
      <c r="M183" s="34"/>
      <c r="N183" s="34"/>
      <c r="O183" s="34"/>
      <c r="P183" s="39"/>
      <c r="R183" s="40"/>
      <c r="S183" s="40"/>
      <c r="T183" s="40"/>
      <c r="U183" s="40"/>
    </row>
    <row r="184" spans="4:21" s="37" customFormat="1" ht="15.75" customHeight="1" x14ac:dyDescent="0.35">
      <c r="D184" s="40"/>
      <c r="E184" s="34"/>
      <c r="F184" s="34"/>
      <c r="G184" s="34"/>
      <c r="H184" s="34"/>
      <c r="I184" s="34"/>
      <c r="J184" s="39"/>
      <c r="K184" s="34"/>
      <c r="L184" s="34"/>
      <c r="M184" s="34"/>
      <c r="N184" s="34"/>
      <c r="O184" s="34"/>
      <c r="P184" s="39"/>
      <c r="R184" s="40"/>
      <c r="S184" s="40"/>
      <c r="T184" s="40"/>
      <c r="U184" s="40"/>
    </row>
    <row r="185" spans="4:21" s="37" customFormat="1" ht="15.75" customHeight="1" x14ac:dyDescent="0.35">
      <c r="D185" s="40"/>
      <c r="E185" s="34"/>
      <c r="F185" s="34"/>
      <c r="G185" s="34"/>
      <c r="H185" s="34"/>
      <c r="I185" s="34"/>
      <c r="J185" s="39"/>
      <c r="K185" s="34"/>
      <c r="L185" s="34"/>
      <c r="M185" s="34"/>
      <c r="N185" s="34"/>
      <c r="O185" s="34"/>
      <c r="P185" s="39"/>
      <c r="R185" s="40"/>
      <c r="S185" s="40"/>
      <c r="T185" s="40"/>
      <c r="U185" s="40"/>
    </row>
    <row r="186" spans="4:21" s="37" customFormat="1" ht="15.75" customHeight="1" x14ac:dyDescent="0.35">
      <c r="D186" s="40"/>
      <c r="E186" s="34"/>
      <c r="F186" s="34"/>
      <c r="G186" s="34"/>
      <c r="H186" s="34"/>
      <c r="I186" s="34"/>
      <c r="J186" s="39"/>
      <c r="K186" s="34"/>
      <c r="L186" s="34"/>
      <c r="M186" s="34"/>
      <c r="N186" s="34"/>
      <c r="O186" s="34"/>
      <c r="P186" s="39"/>
      <c r="R186" s="40"/>
      <c r="S186" s="40"/>
      <c r="T186" s="40"/>
      <c r="U186" s="40"/>
    </row>
    <row r="187" spans="4:21" s="37" customFormat="1" ht="15.75" customHeight="1" x14ac:dyDescent="0.35">
      <c r="D187" s="40"/>
      <c r="E187" s="34"/>
      <c r="F187" s="34"/>
      <c r="G187" s="34"/>
      <c r="H187" s="34"/>
      <c r="I187" s="34"/>
      <c r="J187" s="39"/>
      <c r="K187" s="34"/>
      <c r="L187" s="34"/>
      <c r="M187" s="34"/>
      <c r="N187" s="34"/>
      <c r="O187" s="34"/>
      <c r="P187" s="39"/>
      <c r="R187" s="40"/>
      <c r="S187" s="40"/>
      <c r="T187" s="40"/>
      <c r="U187" s="40"/>
    </row>
    <row r="188" spans="4:21" s="37" customFormat="1" ht="15.75" customHeight="1" x14ac:dyDescent="0.35">
      <c r="D188" s="40"/>
      <c r="E188" s="34"/>
      <c r="F188" s="34"/>
      <c r="G188" s="34"/>
      <c r="H188" s="34"/>
      <c r="I188" s="34"/>
      <c r="J188" s="39"/>
      <c r="K188" s="34"/>
      <c r="L188" s="34"/>
      <c r="M188" s="34"/>
      <c r="N188" s="34"/>
      <c r="O188" s="34"/>
      <c r="P188" s="39"/>
      <c r="R188" s="40"/>
      <c r="S188" s="40"/>
      <c r="T188" s="40"/>
      <c r="U188" s="40"/>
    </row>
    <row r="189" spans="4:21" s="37" customFormat="1" ht="15.75" customHeight="1" x14ac:dyDescent="0.35">
      <c r="D189" s="40"/>
      <c r="E189" s="34"/>
      <c r="F189" s="34"/>
      <c r="G189" s="34"/>
      <c r="H189" s="34"/>
      <c r="I189" s="34"/>
      <c r="J189" s="39"/>
      <c r="K189" s="34"/>
      <c r="L189" s="34"/>
      <c r="M189" s="34"/>
      <c r="N189" s="34"/>
      <c r="O189" s="34"/>
      <c r="P189" s="39"/>
      <c r="R189" s="40"/>
      <c r="S189" s="40"/>
      <c r="T189" s="40"/>
      <c r="U189" s="40"/>
    </row>
    <row r="190" spans="4:21" s="37" customFormat="1" ht="15.75" customHeight="1" x14ac:dyDescent="0.35">
      <c r="D190" s="40"/>
      <c r="E190" s="34"/>
      <c r="F190" s="34"/>
      <c r="G190" s="34"/>
      <c r="H190" s="34"/>
      <c r="I190" s="34"/>
      <c r="J190" s="39"/>
      <c r="K190" s="34"/>
      <c r="L190" s="34"/>
      <c r="M190" s="34"/>
      <c r="N190" s="34"/>
      <c r="O190" s="34"/>
      <c r="P190" s="39"/>
      <c r="R190" s="40"/>
      <c r="S190" s="40"/>
      <c r="T190" s="40"/>
      <c r="U190" s="40"/>
    </row>
    <row r="191" spans="4:21" s="37" customFormat="1" ht="15.75" customHeight="1" x14ac:dyDescent="0.35">
      <c r="D191" s="40"/>
      <c r="E191" s="34"/>
      <c r="F191" s="34"/>
      <c r="G191" s="34"/>
      <c r="H191" s="34"/>
      <c r="I191" s="34"/>
      <c r="J191" s="39"/>
      <c r="K191" s="34"/>
      <c r="L191" s="34"/>
      <c r="M191" s="34"/>
      <c r="N191" s="34"/>
      <c r="O191" s="34"/>
      <c r="P191" s="39"/>
      <c r="R191" s="40"/>
      <c r="S191" s="40"/>
      <c r="T191" s="40"/>
      <c r="U191" s="40"/>
    </row>
    <row r="192" spans="4:21" s="37" customFormat="1" ht="15.75" customHeight="1" x14ac:dyDescent="0.35">
      <c r="D192" s="40"/>
      <c r="E192" s="34"/>
      <c r="F192" s="34"/>
      <c r="G192" s="34"/>
      <c r="H192" s="34"/>
      <c r="I192" s="34"/>
      <c r="J192" s="39"/>
      <c r="K192" s="34"/>
      <c r="L192" s="34"/>
      <c r="M192" s="34"/>
      <c r="N192" s="34"/>
      <c r="O192" s="34"/>
      <c r="P192" s="39"/>
      <c r="R192" s="40"/>
      <c r="S192" s="40"/>
      <c r="T192" s="40"/>
      <c r="U192" s="40"/>
    </row>
    <row r="193" spans="4:21" s="37" customFormat="1" ht="15.75" customHeight="1" x14ac:dyDescent="0.35">
      <c r="D193" s="40"/>
      <c r="E193" s="34"/>
      <c r="F193" s="34"/>
      <c r="G193" s="34"/>
      <c r="H193" s="34"/>
      <c r="I193" s="34"/>
      <c r="J193" s="39"/>
      <c r="K193" s="34"/>
      <c r="L193" s="34"/>
      <c r="M193" s="34"/>
      <c r="N193" s="34"/>
      <c r="O193" s="34"/>
      <c r="P193" s="39"/>
      <c r="R193" s="40"/>
      <c r="S193" s="40"/>
      <c r="T193" s="40"/>
      <c r="U193" s="40"/>
    </row>
    <row r="194" spans="4:21" s="37" customFormat="1" ht="15.75" customHeight="1" x14ac:dyDescent="0.35">
      <c r="D194" s="40"/>
      <c r="E194" s="34"/>
      <c r="F194" s="34"/>
      <c r="G194" s="34"/>
      <c r="H194" s="34"/>
      <c r="I194" s="34"/>
      <c r="J194" s="39"/>
      <c r="K194" s="34"/>
      <c r="L194" s="34"/>
      <c r="M194" s="34"/>
      <c r="N194" s="34"/>
      <c r="O194" s="34"/>
      <c r="P194" s="39"/>
      <c r="R194" s="40"/>
      <c r="S194" s="40"/>
      <c r="T194" s="40"/>
      <c r="U194" s="40"/>
    </row>
    <row r="195" spans="4:21" s="37" customFormat="1" ht="15.75" customHeight="1" x14ac:dyDescent="0.35">
      <c r="D195" s="40"/>
      <c r="E195" s="34"/>
      <c r="F195" s="34"/>
      <c r="G195" s="34"/>
      <c r="H195" s="34"/>
      <c r="I195" s="34"/>
      <c r="J195" s="39"/>
      <c r="K195" s="34"/>
      <c r="L195" s="34"/>
      <c r="M195" s="34"/>
      <c r="N195" s="34"/>
      <c r="O195" s="34"/>
      <c r="P195" s="39"/>
      <c r="R195" s="40"/>
      <c r="S195" s="40"/>
      <c r="T195" s="40"/>
      <c r="U195" s="40"/>
    </row>
    <row r="196" spans="4:21" s="37" customFormat="1" ht="15.75" customHeight="1" x14ac:dyDescent="0.35">
      <c r="D196" s="40"/>
      <c r="E196" s="34"/>
      <c r="F196" s="34"/>
      <c r="G196" s="34"/>
      <c r="H196" s="34"/>
      <c r="I196" s="34"/>
      <c r="J196" s="39"/>
      <c r="K196" s="34"/>
      <c r="L196" s="34"/>
      <c r="M196" s="34"/>
      <c r="N196" s="34"/>
      <c r="O196" s="34"/>
      <c r="P196" s="39"/>
      <c r="R196" s="40"/>
      <c r="S196" s="40"/>
      <c r="T196" s="40"/>
      <c r="U196" s="40"/>
    </row>
    <row r="197" spans="4:21" s="37" customFormat="1" ht="15.75" customHeight="1" x14ac:dyDescent="0.35">
      <c r="D197" s="40"/>
      <c r="E197" s="34"/>
      <c r="F197" s="34"/>
      <c r="G197" s="34"/>
      <c r="H197" s="34"/>
      <c r="I197" s="34"/>
      <c r="J197" s="39"/>
      <c r="K197" s="34"/>
      <c r="L197" s="34"/>
      <c r="M197" s="34"/>
      <c r="N197" s="34"/>
      <c r="O197" s="34"/>
      <c r="P197" s="39"/>
      <c r="R197" s="40"/>
      <c r="S197" s="40"/>
      <c r="T197" s="40"/>
      <c r="U197" s="40"/>
    </row>
    <row r="198" spans="4:21" s="37" customFormat="1" ht="15.75" customHeight="1" x14ac:dyDescent="0.35">
      <c r="D198" s="40"/>
      <c r="E198" s="34"/>
      <c r="F198" s="34"/>
      <c r="G198" s="34"/>
      <c r="H198" s="34"/>
      <c r="I198" s="34"/>
      <c r="J198" s="39"/>
      <c r="K198" s="34"/>
      <c r="L198" s="34"/>
      <c r="M198" s="34"/>
      <c r="N198" s="34"/>
      <c r="O198" s="34"/>
      <c r="P198" s="39"/>
      <c r="R198" s="40"/>
      <c r="S198" s="40"/>
      <c r="T198" s="40"/>
      <c r="U198" s="40"/>
    </row>
    <row r="199" spans="4:21" s="37" customFormat="1" ht="15.75" customHeight="1" x14ac:dyDescent="0.35">
      <c r="D199" s="40"/>
      <c r="E199" s="34"/>
      <c r="F199" s="34"/>
      <c r="G199" s="34"/>
      <c r="H199" s="34"/>
      <c r="I199" s="34"/>
      <c r="J199" s="39"/>
      <c r="K199" s="34"/>
      <c r="L199" s="34"/>
      <c r="M199" s="34"/>
      <c r="N199" s="34"/>
      <c r="O199" s="34"/>
      <c r="P199" s="39"/>
      <c r="R199" s="40"/>
      <c r="S199" s="40"/>
      <c r="T199" s="40"/>
      <c r="U199" s="40"/>
    </row>
    <row r="200" spans="4:21" s="37" customFormat="1" ht="15.75" customHeight="1" x14ac:dyDescent="0.35">
      <c r="D200" s="40"/>
      <c r="E200" s="34"/>
      <c r="F200" s="34"/>
      <c r="G200" s="34"/>
      <c r="H200" s="34"/>
      <c r="I200" s="34"/>
      <c r="J200" s="39"/>
      <c r="K200" s="34"/>
      <c r="L200" s="34"/>
      <c r="M200" s="34"/>
      <c r="N200" s="34"/>
      <c r="O200" s="34"/>
      <c r="P200" s="39"/>
      <c r="R200" s="40"/>
      <c r="S200" s="40"/>
      <c r="T200" s="40"/>
      <c r="U200" s="40"/>
    </row>
    <row r="201" spans="4:21" s="37" customFormat="1" ht="15.75" customHeight="1" x14ac:dyDescent="0.35">
      <c r="D201" s="40"/>
      <c r="E201" s="34"/>
      <c r="F201" s="34"/>
      <c r="G201" s="34"/>
      <c r="H201" s="34"/>
      <c r="I201" s="34"/>
      <c r="J201" s="39"/>
      <c r="K201" s="34"/>
      <c r="L201" s="34"/>
      <c r="M201" s="34"/>
      <c r="N201" s="34"/>
      <c r="O201" s="34"/>
      <c r="P201" s="39"/>
      <c r="R201" s="40"/>
      <c r="S201" s="40"/>
      <c r="T201" s="40"/>
      <c r="U201" s="40"/>
    </row>
    <row r="202" spans="4:21" s="37" customFormat="1" ht="15.75" customHeight="1" x14ac:dyDescent="0.35">
      <c r="D202" s="40"/>
      <c r="E202" s="34"/>
      <c r="F202" s="34"/>
      <c r="G202" s="34"/>
      <c r="H202" s="34"/>
      <c r="I202" s="34"/>
      <c r="J202" s="39"/>
      <c r="K202" s="34"/>
      <c r="L202" s="34"/>
      <c r="M202" s="34"/>
      <c r="N202" s="34"/>
      <c r="O202" s="34"/>
      <c r="P202" s="39"/>
      <c r="R202" s="40"/>
      <c r="S202" s="40"/>
      <c r="T202" s="40"/>
      <c r="U202" s="40"/>
    </row>
    <row r="203" spans="4:21" s="37" customFormat="1" ht="15.75" customHeight="1" x14ac:dyDescent="0.35">
      <c r="D203" s="40"/>
      <c r="E203" s="34"/>
      <c r="F203" s="34"/>
      <c r="G203" s="34"/>
      <c r="H203" s="34"/>
      <c r="I203" s="34"/>
      <c r="J203" s="39"/>
      <c r="K203" s="34"/>
      <c r="L203" s="34"/>
      <c r="M203" s="34"/>
      <c r="N203" s="34"/>
      <c r="O203" s="34"/>
      <c r="P203" s="39"/>
      <c r="R203" s="40"/>
      <c r="S203" s="40"/>
      <c r="T203" s="40"/>
      <c r="U203" s="40"/>
    </row>
    <row r="204" spans="4:21" s="37" customFormat="1" ht="15.75" customHeight="1" x14ac:dyDescent="0.35">
      <c r="D204" s="40"/>
      <c r="E204" s="34"/>
      <c r="F204" s="34"/>
      <c r="G204" s="34"/>
      <c r="H204" s="34"/>
      <c r="I204" s="34"/>
      <c r="J204" s="39"/>
      <c r="K204" s="34"/>
      <c r="L204" s="34"/>
      <c r="M204" s="34"/>
      <c r="N204" s="34"/>
      <c r="O204" s="34"/>
      <c r="P204" s="39"/>
      <c r="R204" s="40"/>
      <c r="S204" s="40"/>
      <c r="T204" s="40"/>
      <c r="U204" s="40"/>
    </row>
    <row r="205" spans="4:21" s="37" customFormat="1" ht="15.75" customHeight="1" x14ac:dyDescent="0.35">
      <c r="D205" s="40"/>
      <c r="E205" s="34"/>
      <c r="F205" s="34"/>
      <c r="G205" s="34"/>
      <c r="H205" s="34"/>
      <c r="I205" s="34"/>
      <c r="J205" s="39"/>
      <c r="K205" s="34"/>
      <c r="L205" s="34"/>
      <c r="M205" s="34"/>
      <c r="N205" s="34"/>
      <c r="O205" s="34"/>
      <c r="P205" s="39"/>
      <c r="R205" s="40"/>
      <c r="S205" s="40"/>
      <c r="T205" s="40"/>
      <c r="U205" s="40"/>
    </row>
    <row r="206" spans="4:21" s="37" customFormat="1" ht="15.75" customHeight="1" x14ac:dyDescent="0.35">
      <c r="D206" s="40"/>
      <c r="E206" s="34"/>
      <c r="F206" s="34"/>
      <c r="G206" s="34"/>
      <c r="H206" s="34"/>
      <c r="I206" s="34"/>
      <c r="J206" s="39"/>
      <c r="K206" s="34"/>
      <c r="L206" s="34"/>
      <c r="M206" s="34"/>
      <c r="N206" s="34"/>
      <c r="O206" s="34"/>
      <c r="P206" s="39"/>
      <c r="R206" s="40"/>
      <c r="S206" s="40"/>
      <c r="T206" s="40"/>
      <c r="U206" s="40"/>
    </row>
    <row r="207" spans="4:21" s="37" customFormat="1" ht="15.75" customHeight="1" x14ac:dyDescent="0.35">
      <c r="D207" s="40"/>
      <c r="E207" s="34"/>
      <c r="F207" s="34"/>
      <c r="G207" s="34"/>
      <c r="H207" s="34"/>
      <c r="I207" s="34"/>
      <c r="J207" s="39"/>
      <c r="K207" s="34"/>
      <c r="L207" s="34"/>
      <c r="M207" s="34"/>
      <c r="N207" s="34"/>
      <c r="O207" s="34"/>
      <c r="P207" s="39"/>
      <c r="R207" s="40"/>
      <c r="S207" s="40"/>
      <c r="T207" s="40"/>
      <c r="U207" s="40"/>
    </row>
    <row r="208" spans="4:21" s="37" customFormat="1" ht="15.75" customHeight="1" x14ac:dyDescent="0.35">
      <c r="D208" s="40"/>
      <c r="E208" s="34"/>
      <c r="F208" s="34"/>
      <c r="G208" s="34"/>
      <c r="H208" s="34"/>
      <c r="I208" s="34"/>
      <c r="J208" s="39"/>
      <c r="K208" s="34"/>
      <c r="L208" s="34"/>
      <c r="M208" s="34"/>
      <c r="N208" s="34"/>
      <c r="O208" s="34"/>
      <c r="P208" s="39"/>
      <c r="R208" s="40"/>
      <c r="S208" s="40"/>
      <c r="T208" s="40"/>
      <c r="U208" s="40"/>
    </row>
    <row r="209" spans="4:21" s="37" customFormat="1" ht="15.75" customHeight="1" x14ac:dyDescent="0.35">
      <c r="D209" s="40"/>
      <c r="E209" s="34"/>
      <c r="F209" s="34"/>
      <c r="G209" s="34"/>
      <c r="H209" s="34"/>
      <c r="I209" s="34"/>
      <c r="J209" s="39"/>
      <c r="K209" s="34"/>
      <c r="L209" s="34"/>
      <c r="M209" s="34"/>
      <c r="N209" s="34"/>
      <c r="O209" s="34"/>
      <c r="P209" s="39"/>
      <c r="R209" s="40"/>
      <c r="S209" s="40"/>
      <c r="T209" s="40"/>
      <c r="U209" s="40"/>
    </row>
    <row r="210" spans="4:21" s="37" customFormat="1" ht="15.75" customHeight="1" x14ac:dyDescent="0.35">
      <c r="D210" s="40"/>
      <c r="E210" s="34"/>
      <c r="F210" s="34"/>
      <c r="G210" s="34"/>
      <c r="H210" s="34"/>
      <c r="I210" s="34"/>
      <c r="J210" s="39"/>
      <c r="K210" s="34"/>
      <c r="L210" s="34"/>
      <c r="M210" s="34"/>
      <c r="N210" s="34"/>
      <c r="O210" s="34"/>
      <c r="P210" s="39"/>
      <c r="R210" s="40"/>
      <c r="S210" s="40"/>
      <c r="T210" s="40"/>
      <c r="U210" s="40"/>
    </row>
    <row r="211" spans="4:21" s="37" customFormat="1" ht="15.75" customHeight="1" x14ac:dyDescent="0.35">
      <c r="D211" s="40"/>
      <c r="E211" s="34"/>
      <c r="F211" s="34"/>
      <c r="G211" s="34"/>
      <c r="H211" s="34"/>
      <c r="I211" s="34"/>
      <c r="J211" s="39"/>
      <c r="K211" s="34"/>
      <c r="L211" s="34"/>
      <c r="M211" s="34"/>
      <c r="N211" s="34"/>
      <c r="O211" s="34"/>
      <c r="P211" s="39"/>
      <c r="R211" s="40"/>
      <c r="S211" s="40"/>
      <c r="T211" s="40"/>
      <c r="U211" s="40"/>
    </row>
    <row r="212" spans="4:21" s="37" customFormat="1" ht="15.75" customHeight="1" x14ac:dyDescent="0.35">
      <c r="D212" s="40"/>
      <c r="E212" s="34"/>
      <c r="F212" s="34"/>
      <c r="G212" s="34"/>
      <c r="H212" s="34"/>
      <c r="I212" s="34"/>
      <c r="J212" s="39"/>
      <c r="K212" s="34"/>
      <c r="L212" s="34"/>
      <c r="M212" s="34"/>
      <c r="N212" s="34"/>
      <c r="O212" s="34"/>
      <c r="P212" s="39"/>
      <c r="R212" s="40"/>
      <c r="S212" s="40"/>
      <c r="T212" s="40"/>
      <c r="U212" s="40"/>
    </row>
    <row r="213" spans="4:21" s="37" customFormat="1" ht="15.75" customHeight="1" x14ac:dyDescent="0.35">
      <c r="D213" s="40"/>
      <c r="E213" s="34"/>
      <c r="F213" s="34"/>
      <c r="G213" s="34"/>
      <c r="H213" s="34"/>
      <c r="I213" s="34"/>
      <c r="J213" s="39"/>
      <c r="K213" s="34"/>
      <c r="L213" s="34"/>
      <c r="M213" s="34"/>
      <c r="N213" s="34"/>
      <c r="O213" s="34"/>
      <c r="P213" s="39"/>
      <c r="R213" s="40"/>
      <c r="S213" s="40"/>
      <c r="T213" s="40"/>
      <c r="U213" s="40"/>
    </row>
    <row r="214" spans="4:21" s="37" customFormat="1" ht="15.75" customHeight="1" x14ac:dyDescent="0.35">
      <c r="D214" s="40"/>
      <c r="E214" s="34"/>
      <c r="F214" s="34"/>
      <c r="G214" s="34"/>
      <c r="H214" s="34"/>
      <c r="I214" s="34"/>
      <c r="J214" s="39"/>
      <c r="K214" s="34"/>
      <c r="L214" s="34"/>
      <c r="M214" s="34"/>
      <c r="N214" s="34"/>
      <c r="O214" s="34"/>
      <c r="P214" s="39"/>
      <c r="R214" s="40"/>
      <c r="S214" s="40"/>
      <c r="T214" s="40"/>
      <c r="U214" s="40"/>
    </row>
    <row r="215" spans="4:21" s="37" customFormat="1" ht="15.75" customHeight="1" x14ac:dyDescent="0.35">
      <c r="D215" s="40"/>
      <c r="E215" s="34"/>
      <c r="F215" s="34"/>
      <c r="G215" s="34"/>
      <c r="H215" s="34"/>
      <c r="I215" s="34"/>
      <c r="J215" s="39"/>
      <c r="K215" s="34"/>
      <c r="L215" s="34"/>
      <c r="M215" s="34"/>
      <c r="N215" s="34"/>
      <c r="O215" s="34"/>
      <c r="P215" s="39"/>
      <c r="R215" s="40"/>
      <c r="S215" s="40"/>
      <c r="T215" s="40"/>
      <c r="U215" s="40"/>
    </row>
    <row r="216" spans="4:21" s="37" customFormat="1" ht="15.75" customHeight="1" x14ac:dyDescent="0.35">
      <c r="D216" s="40"/>
      <c r="E216" s="34"/>
      <c r="F216" s="34"/>
      <c r="G216" s="34"/>
      <c r="H216" s="34"/>
      <c r="I216" s="34"/>
      <c r="J216" s="39"/>
      <c r="K216" s="34"/>
      <c r="L216" s="34"/>
      <c r="M216" s="34"/>
      <c r="N216" s="34"/>
      <c r="O216" s="34"/>
      <c r="P216" s="39"/>
      <c r="R216" s="40"/>
      <c r="S216" s="40"/>
      <c r="T216" s="40"/>
      <c r="U216" s="40"/>
    </row>
    <row r="217" spans="4:21" s="37" customFormat="1" ht="15.75" customHeight="1" x14ac:dyDescent="0.35">
      <c r="D217" s="40"/>
      <c r="E217" s="34"/>
      <c r="F217" s="34"/>
      <c r="G217" s="34"/>
      <c r="H217" s="34"/>
      <c r="I217" s="34"/>
      <c r="J217" s="39"/>
      <c r="K217" s="34"/>
      <c r="L217" s="34"/>
      <c r="M217" s="34"/>
      <c r="N217" s="34"/>
      <c r="O217" s="34"/>
      <c r="P217" s="39"/>
      <c r="R217" s="40"/>
      <c r="S217" s="40"/>
      <c r="T217" s="40"/>
      <c r="U217" s="40"/>
    </row>
    <row r="218" spans="4:21" s="37" customFormat="1" ht="15.75" customHeight="1" x14ac:dyDescent="0.35">
      <c r="D218" s="40"/>
      <c r="E218" s="34"/>
      <c r="F218" s="34"/>
      <c r="G218" s="34"/>
      <c r="H218" s="34"/>
      <c r="I218" s="34"/>
      <c r="J218" s="39"/>
      <c r="K218" s="34"/>
      <c r="L218" s="34"/>
      <c r="M218" s="34"/>
      <c r="N218" s="34"/>
      <c r="O218" s="34"/>
      <c r="P218" s="39"/>
      <c r="R218" s="40"/>
      <c r="S218" s="40"/>
      <c r="T218" s="40"/>
      <c r="U218" s="40"/>
    </row>
    <row r="219" spans="4:21" s="37" customFormat="1" ht="15.75" customHeight="1" x14ac:dyDescent="0.35">
      <c r="D219" s="40"/>
      <c r="E219" s="34"/>
      <c r="F219" s="34"/>
      <c r="G219" s="34"/>
      <c r="H219" s="34"/>
      <c r="I219" s="34"/>
      <c r="J219" s="39"/>
      <c r="K219" s="34"/>
      <c r="L219" s="34"/>
      <c r="M219" s="34"/>
      <c r="N219" s="34"/>
      <c r="O219" s="34"/>
      <c r="P219" s="39"/>
      <c r="R219" s="40"/>
      <c r="S219" s="40"/>
      <c r="T219" s="40"/>
      <c r="U219" s="40"/>
    </row>
    <row r="220" spans="4:21" s="37" customFormat="1" ht="15.75" customHeight="1" x14ac:dyDescent="0.35">
      <c r="D220" s="40"/>
      <c r="E220" s="34"/>
      <c r="F220" s="34"/>
      <c r="G220" s="34"/>
      <c r="H220" s="34"/>
      <c r="I220" s="34"/>
      <c r="J220" s="39"/>
      <c r="K220" s="34"/>
      <c r="L220" s="34"/>
      <c r="M220" s="34"/>
      <c r="N220" s="34"/>
      <c r="O220" s="34"/>
      <c r="P220" s="39"/>
      <c r="R220" s="40"/>
      <c r="S220" s="40"/>
      <c r="T220" s="40"/>
      <c r="U220" s="40"/>
    </row>
    <row r="221" spans="4:21" s="37" customFormat="1" ht="15.75" customHeight="1" x14ac:dyDescent="0.35">
      <c r="D221" s="40"/>
      <c r="E221" s="34"/>
      <c r="F221" s="34"/>
      <c r="G221" s="34"/>
      <c r="H221" s="34"/>
      <c r="I221" s="34"/>
      <c r="J221" s="39"/>
      <c r="K221" s="34"/>
      <c r="L221" s="34"/>
      <c r="M221" s="34"/>
      <c r="N221" s="34"/>
      <c r="O221" s="34"/>
      <c r="P221" s="39"/>
      <c r="R221" s="40"/>
      <c r="S221" s="40"/>
      <c r="T221" s="40"/>
      <c r="U221" s="40"/>
    </row>
    <row r="222" spans="4:21" s="37" customFormat="1" ht="15.75" customHeight="1" x14ac:dyDescent="0.35">
      <c r="D222" s="40"/>
      <c r="E222" s="34"/>
      <c r="F222" s="34"/>
      <c r="G222" s="34"/>
      <c r="H222" s="34"/>
      <c r="I222" s="34"/>
      <c r="J222" s="39"/>
      <c r="K222" s="34"/>
      <c r="L222" s="34"/>
      <c r="M222" s="34"/>
      <c r="N222" s="34"/>
      <c r="O222" s="34"/>
      <c r="P222" s="39"/>
      <c r="R222" s="40"/>
      <c r="S222" s="40"/>
      <c r="T222" s="40"/>
      <c r="U222" s="40"/>
    </row>
    <row r="223" spans="4:21" s="37" customFormat="1" ht="15.75" customHeight="1" x14ac:dyDescent="0.35">
      <c r="D223" s="40"/>
      <c r="E223" s="34"/>
      <c r="F223" s="34"/>
      <c r="G223" s="34"/>
      <c r="H223" s="34"/>
      <c r="I223" s="34"/>
      <c r="J223" s="39"/>
      <c r="K223" s="34"/>
      <c r="L223" s="34"/>
      <c r="M223" s="34"/>
      <c r="N223" s="34"/>
      <c r="O223" s="34"/>
      <c r="P223" s="39"/>
      <c r="R223" s="40"/>
      <c r="S223" s="40"/>
      <c r="T223" s="40"/>
      <c r="U223" s="40"/>
    </row>
    <row r="224" spans="4:21" s="37" customFormat="1" ht="15.75" customHeight="1" x14ac:dyDescent="0.35">
      <c r="D224" s="40"/>
      <c r="E224" s="34"/>
      <c r="F224" s="34"/>
      <c r="G224" s="34"/>
      <c r="H224" s="34"/>
      <c r="I224" s="34"/>
      <c r="J224" s="39"/>
      <c r="K224" s="34"/>
      <c r="L224" s="34"/>
      <c r="M224" s="34"/>
      <c r="N224" s="34"/>
      <c r="O224" s="34"/>
      <c r="P224" s="39"/>
      <c r="R224" s="40"/>
      <c r="S224" s="40"/>
      <c r="T224" s="40"/>
      <c r="U224" s="40"/>
    </row>
    <row r="225" spans="4:21" s="37" customFormat="1" ht="15.75" customHeight="1" x14ac:dyDescent="0.35">
      <c r="D225" s="40"/>
      <c r="E225" s="34"/>
      <c r="F225" s="34"/>
      <c r="G225" s="34"/>
      <c r="H225" s="34"/>
      <c r="I225" s="34"/>
      <c r="J225" s="39"/>
      <c r="K225" s="34"/>
      <c r="L225" s="34"/>
      <c r="M225" s="34"/>
      <c r="N225" s="34"/>
      <c r="O225" s="34"/>
      <c r="P225" s="39"/>
      <c r="R225" s="40"/>
      <c r="S225" s="40"/>
      <c r="T225" s="40"/>
      <c r="U225" s="40"/>
    </row>
    <row r="226" spans="4:21" s="37" customFormat="1" ht="15.75" customHeight="1" x14ac:dyDescent="0.35">
      <c r="D226" s="40"/>
      <c r="E226" s="34"/>
      <c r="F226" s="34"/>
      <c r="G226" s="34"/>
      <c r="H226" s="34"/>
      <c r="I226" s="34"/>
      <c r="J226" s="39"/>
      <c r="K226" s="34"/>
      <c r="L226" s="34"/>
      <c r="M226" s="34"/>
      <c r="N226" s="34"/>
      <c r="O226" s="34"/>
      <c r="P226" s="39"/>
      <c r="R226" s="40"/>
      <c r="S226" s="40"/>
      <c r="T226" s="40"/>
      <c r="U226" s="40"/>
    </row>
    <row r="227" spans="4:21" s="37" customFormat="1" ht="15.75" customHeight="1" x14ac:dyDescent="0.35">
      <c r="D227" s="40"/>
      <c r="E227" s="34"/>
      <c r="F227" s="34"/>
      <c r="G227" s="34"/>
      <c r="H227" s="34"/>
      <c r="I227" s="34"/>
      <c r="J227" s="39"/>
      <c r="K227" s="34"/>
      <c r="L227" s="34"/>
      <c r="M227" s="34"/>
      <c r="N227" s="34"/>
      <c r="O227" s="34"/>
      <c r="P227" s="39"/>
      <c r="R227" s="40"/>
      <c r="S227" s="40"/>
      <c r="T227" s="40"/>
      <c r="U227" s="40"/>
    </row>
    <row r="228" spans="4:21" s="37" customFormat="1" ht="15.75" customHeight="1" x14ac:dyDescent="0.35">
      <c r="D228" s="40"/>
      <c r="E228" s="34"/>
      <c r="F228" s="34"/>
      <c r="G228" s="34"/>
      <c r="H228" s="34"/>
      <c r="I228" s="34"/>
      <c r="J228" s="39"/>
      <c r="K228" s="34"/>
      <c r="L228" s="34"/>
      <c r="M228" s="34"/>
      <c r="N228" s="34"/>
      <c r="O228" s="34"/>
      <c r="P228" s="39"/>
      <c r="R228" s="40"/>
      <c r="S228" s="40"/>
      <c r="T228" s="40"/>
      <c r="U228" s="40"/>
    </row>
    <row r="229" spans="4:21" s="37" customFormat="1" ht="15.75" customHeight="1" x14ac:dyDescent="0.35">
      <c r="D229" s="40"/>
      <c r="E229" s="34"/>
      <c r="F229" s="34"/>
      <c r="G229" s="34"/>
      <c r="H229" s="34"/>
      <c r="I229" s="34"/>
      <c r="J229" s="39"/>
      <c r="K229" s="34"/>
      <c r="L229" s="34"/>
      <c r="M229" s="34"/>
      <c r="N229" s="34"/>
      <c r="O229" s="34"/>
      <c r="P229" s="39"/>
      <c r="R229" s="40"/>
      <c r="S229" s="40"/>
      <c r="T229" s="40"/>
      <c r="U229" s="40"/>
    </row>
    <row r="230" spans="4:21" s="37" customFormat="1" ht="15.75" customHeight="1" x14ac:dyDescent="0.35">
      <c r="D230" s="40"/>
      <c r="E230" s="34"/>
      <c r="F230" s="34"/>
      <c r="G230" s="34"/>
      <c r="H230" s="34"/>
      <c r="I230" s="34"/>
      <c r="J230" s="39"/>
      <c r="K230" s="34"/>
      <c r="L230" s="34"/>
      <c r="M230" s="34"/>
      <c r="N230" s="34"/>
      <c r="O230" s="34"/>
      <c r="P230" s="39"/>
      <c r="R230" s="40"/>
      <c r="S230" s="40"/>
      <c r="T230" s="40"/>
      <c r="U230" s="40"/>
    </row>
    <row r="231" spans="4:21" s="37" customFormat="1" ht="15.75" customHeight="1" x14ac:dyDescent="0.35">
      <c r="D231" s="40"/>
      <c r="E231" s="34"/>
      <c r="F231" s="34"/>
      <c r="G231" s="34"/>
      <c r="H231" s="34"/>
      <c r="I231" s="34"/>
      <c r="J231" s="39"/>
      <c r="K231" s="34"/>
      <c r="L231" s="34"/>
      <c r="M231" s="34"/>
      <c r="N231" s="34"/>
      <c r="O231" s="34"/>
      <c r="P231" s="39"/>
      <c r="R231" s="40"/>
      <c r="S231" s="40"/>
      <c r="T231" s="40"/>
      <c r="U231" s="40"/>
    </row>
    <row r="232" spans="4:21" s="37" customFormat="1" ht="15.75" customHeight="1" x14ac:dyDescent="0.35">
      <c r="D232" s="40"/>
      <c r="E232" s="34"/>
      <c r="F232" s="34"/>
      <c r="G232" s="34"/>
      <c r="H232" s="34"/>
      <c r="I232" s="34"/>
      <c r="J232" s="39"/>
      <c r="K232" s="34"/>
      <c r="L232" s="34"/>
      <c r="M232" s="34"/>
      <c r="N232" s="34"/>
      <c r="O232" s="34"/>
      <c r="P232" s="39"/>
      <c r="R232" s="40"/>
      <c r="S232" s="40"/>
      <c r="T232" s="40"/>
      <c r="U232" s="40"/>
    </row>
    <row r="233" spans="4:21" s="37" customFormat="1" ht="15.75" customHeight="1" x14ac:dyDescent="0.35">
      <c r="D233" s="40"/>
      <c r="E233" s="34"/>
      <c r="F233" s="34"/>
      <c r="G233" s="34"/>
      <c r="H233" s="34"/>
      <c r="I233" s="34"/>
      <c r="J233" s="39"/>
      <c r="K233" s="34"/>
      <c r="L233" s="34"/>
      <c r="M233" s="34"/>
      <c r="N233" s="34"/>
      <c r="O233" s="34"/>
      <c r="P233" s="39"/>
      <c r="R233" s="40"/>
      <c r="S233" s="40"/>
      <c r="T233" s="40"/>
      <c r="U233" s="40"/>
    </row>
    <row r="234" spans="4:21" s="37" customFormat="1" ht="15.75" customHeight="1" x14ac:dyDescent="0.35">
      <c r="D234" s="40"/>
      <c r="E234" s="34"/>
      <c r="F234" s="34"/>
      <c r="G234" s="34"/>
      <c r="H234" s="34"/>
      <c r="I234" s="34"/>
      <c r="J234" s="39"/>
      <c r="K234" s="34"/>
      <c r="L234" s="34"/>
      <c r="M234" s="34"/>
      <c r="N234" s="34"/>
      <c r="O234" s="34"/>
      <c r="P234" s="39"/>
      <c r="R234" s="40"/>
      <c r="S234" s="40"/>
      <c r="T234" s="40"/>
      <c r="U234" s="40"/>
    </row>
    <row r="235" spans="4:21" s="37" customFormat="1" ht="15.75" customHeight="1" x14ac:dyDescent="0.35">
      <c r="D235" s="40"/>
      <c r="E235" s="34"/>
      <c r="F235" s="34"/>
      <c r="G235" s="34"/>
      <c r="H235" s="34"/>
      <c r="I235" s="34"/>
      <c r="J235" s="39"/>
      <c r="K235" s="34"/>
      <c r="L235" s="34"/>
      <c r="M235" s="34"/>
      <c r="N235" s="34"/>
      <c r="O235" s="34"/>
      <c r="P235" s="39"/>
      <c r="R235" s="40"/>
      <c r="S235" s="40"/>
      <c r="T235" s="40"/>
      <c r="U235" s="40"/>
    </row>
    <row r="236" spans="4:21" s="37" customFormat="1" ht="15.75" customHeight="1" x14ac:dyDescent="0.35">
      <c r="D236" s="40"/>
      <c r="E236" s="34"/>
      <c r="F236" s="34"/>
      <c r="G236" s="34"/>
      <c r="H236" s="34"/>
      <c r="I236" s="34"/>
      <c r="J236" s="39"/>
      <c r="K236" s="34"/>
      <c r="L236" s="34"/>
      <c r="M236" s="34"/>
      <c r="N236" s="34"/>
      <c r="O236" s="34"/>
      <c r="P236" s="39"/>
      <c r="R236" s="40"/>
      <c r="S236" s="40"/>
      <c r="T236" s="40"/>
      <c r="U236" s="40"/>
    </row>
    <row r="237" spans="4:21" s="37" customFormat="1" ht="15.75" customHeight="1" x14ac:dyDescent="0.35">
      <c r="D237" s="40"/>
      <c r="E237" s="34"/>
      <c r="F237" s="34"/>
      <c r="G237" s="34"/>
      <c r="H237" s="34"/>
      <c r="I237" s="34"/>
      <c r="J237" s="39"/>
      <c r="K237" s="34"/>
      <c r="L237" s="34"/>
      <c r="M237" s="34"/>
      <c r="N237" s="34"/>
      <c r="O237" s="34"/>
      <c r="P237" s="39"/>
      <c r="R237" s="40"/>
      <c r="S237" s="40"/>
      <c r="T237" s="40"/>
      <c r="U237" s="40"/>
    </row>
    <row r="238" spans="4:21" s="37" customFormat="1" ht="15.75" customHeight="1" x14ac:dyDescent="0.35">
      <c r="D238" s="40"/>
      <c r="E238" s="34"/>
      <c r="F238" s="34"/>
      <c r="G238" s="34"/>
      <c r="H238" s="34"/>
      <c r="I238" s="34"/>
      <c r="J238" s="39"/>
      <c r="K238" s="34"/>
      <c r="L238" s="34"/>
      <c r="M238" s="34"/>
      <c r="N238" s="34"/>
      <c r="O238" s="34"/>
      <c r="P238" s="39"/>
      <c r="R238" s="40"/>
      <c r="S238" s="40"/>
      <c r="T238" s="40"/>
      <c r="U238" s="40"/>
    </row>
    <row r="239" spans="4:21" s="37" customFormat="1" ht="15.75" customHeight="1" x14ac:dyDescent="0.35">
      <c r="D239" s="40"/>
      <c r="E239" s="34"/>
      <c r="F239" s="34"/>
      <c r="G239" s="34"/>
      <c r="H239" s="34"/>
      <c r="I239" s="34"/>
      <c r="J239" s="39"/>
      <c r="K239" s="34"/>
      <c r="L239" s="34"/>
      <c r="M239" s="34"/>
      <c r="N239" s="34"/>
      <c r="O239" s="34"/>
      <c r="P239" s="39"/>
      <c r="R239" s="40"/>
      <c r="S239" s="40"/>
      <c r="T239" s="40"/>
      <c r="U239" s="40"/>
    </row>
    <row r="240" spans="4:21" s="37" customFormat="1" ht="15.75" customHeight="1" x14ac:dyDescent="0.35">
      <c r="D240" s="40"/>
      <c r="E240" s="34"/>
      <c r="F240" s="34"/>
      <c r="G240" s="34"/>
      <c r="H240" s="34"/>
      <c r="I240" s="34"/>
      <c r="J240" s="39"/>
      <c r="K240" s="34"/>
      <c r="L240" s="34"/>
      <c r="M240" s="34"/>
      <c r="N240" s="34"/>
      <c r="O240" s="34"/>
      <c r="P240" s="39"/>
      <c r="R240" s="40"/>
      <c r="S240" s="40"/>
      <c r="T240" s="40"/>
      <c r="U240" s="40"/>
    </row>
    <row r="241" spans="4:21" s="37" customFormat="1" ht="15.75" customHeight="1" x14ac:dyDescent="0.35">
      <c r="D241" s="40"/>
      <c r="E241" s="34"/>
      <c r="F241" s="34"/>
      <c r="G241" s="34"/>
      <c r="H241" s="34"/>
      <c r="I241" s="34"/>
      <c r="J241" s="39"/>
      <c r="K241" s="34"/>
      <c r="L241" s="34"/>
      <c r="M241" s="34"/>
      <c r="N241" s="34"/>
      <c r="O241" s="34"/>
      <c r="P241" s="39"/>
      <c r="R241" s="40"/>
      <c r="S241" s="40"/>
      <c r="T241" s="40"/>
      <c r="U241" s="40"/>
    </row>
    <row r="242" spans="4:21" s="37" customFormat="1" ht="15.75" customHeight="1" x14ac:dyDescent="0.35">
      <c r="D242" s="40"/>
      <c r="E242" s="34"/>
      <c r="F242" s="34"/>
      <c r="G242" s="34"/>
      <c r="H242" s="34"/>
      <c r="I242" s="34"/>
      <c r="J242" s="39"/>
      <c r="K242" s="34"/>
      <c r="L242" s="34"/>
      <c r="M242" s="34"/>
      <c r="N242" s="34"/>
      <c r="O242" s="34"/>
      <c r="P242" s="39"/>
      <c r="R242" s="40"/>
      <c r="S242" s="40"/>
      <c r="T242" s="40"/>
      <c r="U242" s="40"/>
    </row>
    <row r="243" spans="4:21" s="37" customFormat="1" ht="15.75" customHeight="1" x14ac:dyDescent="0.35">
      <c r="D243" s="40"/>
      <c r="E243" s="34"/>
      <c r="F243" s="34"/>
      <c r="G243" s="34"/>
      <c r="H243" s="34"/>
      <c r="I243" s="34"/>
      <c r="J243" s="39"/>
      <c r="K243" s="34"/>
      <c r="L243" s="34"/>
      <c r="M243" s="34"/>
      <c r="N243" s="34"/>
      <c r="O243" s="34"/>
      <c r="P243" s="39"/>
      <c r="R243" s="40"/>
      <c r="S243" s="40"/>
      <c r="T243" s="40"/>
      <c r="U243" s="40"/>
    </row>
    <row r="244" spans="4:21" s="37" customFormat="1" ht="15.75" customHeight="1" x14ac:dyDescent="0.35">
      <c r="D244" s="40"/>
      <c r="E244" s="34"/>
      <c r="F244" s="34"/>
      <c r="G244" s="34"/>
      <c r="H244" s="34"/>
      <c r="I244" s="34"/>
      <c r="J244" s="39"/>
      <c r="K244" s="34"/>
      <c r="L244" s="34"/>
      <c r="M244" s="34"/>
      <c r="N244" s="34"/>
      <c r="O244" s="34"/>
      <c r="P244" s="39"/>
      <c r="R244" s="40"/>
      <c r="S244" s="40"/>
      <c r="T244" s="40"/>
      <c r="U244" s="40"/>
    </row>
    <row r="245" spans="4:21" s="37" customFormat="1" ht="15.75" customHeight="1" x14ac:dyDescent="0.35">
      <c r="D245" s="40"/>
      <c r="E245" s="34"/>
      <c r="F245" s="34"/>
      <c r="G245" s="34"/>
      <c r="H245" s="34"/>
      <c r="I245" s="34"/>
      <c r="J245" s="39"/>
      <c r="K245" s="34"/>
      <c r="L245" s="34"/>
      <c r="M245" s="34"/>
      <c r="N245" s="34"/>
      <c r="O245" s="34"/>
      <c r="P245" s="39"/>
      <c r="R245" s="40"/>
      <c r="S245" s="40"/>
      <c r="T245" s="40"/>
      <c r="U245" s="40"/>
    </row>
    <row r="246" spans="4:21" s="37" customFormat="1" ht="15.75" customHeight="1" x14ac:dyDescent="0.35">
      <c r="D246" s="40"/>
      <c r="E246" s="34"/>
      <c r="F246" s="34"/>
      <c r="G246" s="34"/>
      <c r="H246" s="34"/>
      <c r="I246" s="34"/>
      <c r="J246" s="39"/>
      <c r="K246" s="34"/>
      <c r="L246" s="34"/>
      <c r="M246" s="34"/>
      <c r="N246" s="34"/>
      <c r="O246" s="34"/>
      <c r="P246" s="39"/>
      <c r="R246" s="40"/>
      <c r="S246" s="40"/>
      <c r="T246" s="40"/>
      <c r="U246" s="40"/>
    </row>
    <row r="247" spans="4:21" s="37" customFormat="1" ht="15.75" customHeight="1" x14ac:dyDescent="0.35">
      <c r="D247" s="40"/>
      <c r="E247" s="34"/>
      <c r="F247" s="34"/>
      <c r="G247" s="34"/>
      <c r="H247" s="34"/>
      <c r="I247" s="34"/>
      <c r="J247" s="39"/>
      <c r="K247" s="34"/>
      <c r="L247" s="34"/>
      <c r="M247" s="34"/>
      <c r="N247" s="34"/>
      <c r="O247" s="34"/>
      <c r="P247" s="39"/>
      <c r="R247" s="40"/>
      <c r="S247" s="40"/>
      <c r="T247" s="40"/>
      <c r="U247" s="40"/>
    </row>
    <row r="248" spans="4:21" s="37" customFormat="1" ht="15.75" customHeight="1" x14ac:dyDescent="0.35">
      <c r="D248" s="40"/>
      <c r="E248" s="34"/>
      <c r="F248" s="34"/>
      <c r="G248" s="34"/>
      <c r="H248" s="34"/>
      <c r="I248" s="34"/>
      <c r="J248" s="39"/>
      <c r="K248" s="34"/>
      <c r="L248" s="34"/>
      <c r="M248" s="34"/>
      <c r="N248" s="34"/>
      <c r="O248" s="34"/>
      <c r="P248" s="39"/>
      <c r="R248" s="40"/>
      <c r="S248" s="40"/>
      <c r="T248" s="40"/>
      <c r="U248" s="40"/>
    </row>
    <row r="249" spans="4:21" s="37" customFormat="1" ht="15.75" customHeight="1" x14ac:dyDescent="0.35">
      <c r="D249" s="40"/>
      <c r="E249" s="34"/>
      <c r="F249" s="34"/>
      <c r="G249" s="34"/>
      <c r="H249" s="34"/>
      <c r="I249" s="34"/>
      <c r="J249" s="39"/>
      <c r="K249" s="34"/>
      <c r="L249" s="34"/>
      <c r="M249" s="34"/>
      <c r="N249" s="34"/>
      <c r="O249" s="34"/>
      <c r="P249" s="39"/>
      <c r="R249" s="40"/>
      <c r="S249" s="40"/>
      <c r="T249" s="40"/>
      <c r="U249" s="40"/>
    </row>
    <row r="250" spans="4:21" s="37" customFormat="1" ht="15.75" customHeight="1" x14ac:dyDescent="0.35">
      <c r="D250" s="40"/>
      <c r="E250" s="34"/>
      <c r="F250" s="34"/>
      <c r="G250" s="34"/>
      <c r="H250" s="34"/>
      <c r="I250" s="34"/>
      <c r="J250" s="39"/>
      <c r="K250" s="34"/>
      <c r="L250" s="34"/>
      <c r="M250" s="34"/>
      <c r="N250" s="34"/>
      <c r="O250" s="34"/>
      <c r="P250" s="39"/>
      <c r="R250" s="40"/>
      <c r="S250" s="40"/>
      <c r="T250" s="40"/>
      <c r="U250" s="40"/>
    </row>
    <row r="251" spans="4:21" s="37" customFormat="1" ht="15.75" customHeight="1" x14ac:dyDescent="0.35">
      <c r="D251" s="40"/>
      <c r="E251" s="34"/>
      <c r="F251" s="34"/>
      <c r="G251" s="34"/>
      <c r="H251" s="34"/>
      <c r="I251" s="34"/>
      <c r="J251" s="39"/>
      <c r="K251" s="34"/>
      <c r="L251" s="34"/>
      <c r="M251" s="34"/>
      <c r="N251" s="34"/>
      <c r="O251" s="34"/>
      <c r="P251" s="39"/>
      <c r="R251" s="40"/>
      <c r="S251" s="40"/>
      <c r="T251" s="40"/>
      <c r="U251" s="40"/>
    </row>
    <row r="252" spans="4:21" s="37" customFormat="1" ht="15.75" customHeight="1" x14ac:dyDescent="0.35">
      <c r="D252" s="40"/>
      <c r="E252" s="34"/>
      <c r="F252" s="34"/>
      <c r="G252" s="34"/>
      <c r="H252" s="34"/>
      <c r="I252" s="34"/>
      <c r="J252" s="39"/>
      <c r="K252" s="34"/>
      <c r="L252" s="34"/>
      <c r="M252" s="34"/>
      <c r="N252" s="34"/>
      <c r="O252" s="34"/>
      <c r="P252" s="39"/>
      <c r="R252" s="40"/>
      <c r="S252" s="40"/>
      <c r="T252" s="40"/>
      <c r="U252" s="40"/>
    </row>
    <row r="253" spans="4:21" s="37" customFormat="1" ht="15.75" customHeight="1" x14ac:dyDescent="0.35">
      <c r="D253" s="40"/>
      <c r="E253" s="34"/>
      <c r="F253" s="34"/>
      <c r="G253" s="34"/>
      <c r="H253" s="34"/>
      <c r="I253" s="34"/>
      <c r="J253" s="39"/>
      <c r="K253" s="34"/>
      <c r="L253" s="34"/>
      <c r="M253" s="34"/>
      <c r="N253" s="34"/>
      <c r="O253" s="34"/>
      <c r="P253" s="39"/>
      <c r="R253" s="40"/>
      <c r="S253" s="40"/>
      <c r="T253" s="40"/>
      <c r="U253" s="40"/>
    </row>
    <row r="254" spans="4:21" s="37" customFormat="1" ht="15.75" customHeight="1" x14ac:dyDescent="0.35">
      <c r="D254" s="40"/>
      <c r="E254" s="34"/>
      <c r="F254" s="34"/>
      <c r="G254" s="34"/>
      <c r="H254" s="34"/>
      <c r="I254" s="34"/>
      <c r="J254" s="39"/>
      <c r="K254" s="34"/>
      <c r="L254" s="34"/>
      <c r="M254" s="34"/>
      <c r="N254" s="34"/>
      <c r="O254" s="34"/>
      <c r="P254" s="39"/>
      <c r="R254" s="40"/>
      <c r="S254" s="40"/>
      <c r="T254" s="40"/>
      <c r="U254" s="40"/>
    </row>
    <row r="255" spans="4:21" s="37" customFormat="1" ht="15.75" customHeight="1" x14ac:dyDescent="0.35">
      <c r="D255" s="40"/>
      <c r="E255" s="34"/>
      <c r="F255" s="34"/>
      <c r="G255" s="34"/>
      <c r="H255" s="34"/>
      <c r="I255" s="34"/>
      <c r="J255" s="39"/>
      <c r="K255" s="34"/>
      <c r="L255" s="34"/>
      <c r="M255" s="34"/>
      <c r="N255" s="34"/>
      <c r="O255" s="34"/>
      <c r="P255" s="39"/>
      <c r="R255" s="40"/>
      <c r="S255" s="40"/>
      <c r="T255" s="40"/>
      <c r="U255" s="40"/>
    </row>
    <row r="256" spans="4:21" s="37" customFormat="1" ht="15.75" customHeight="1" x14ac:dyDescent="0.35">
      <c r="D256" s="40"/>
      <c r="E256" s="34"/>
      <c r="F256" s="34"/>
      <c r="G256" s="34"/>
      <c r="H256" s="34"/>
      <c r="I256" s="34"/>
      <c r="J256" s="39"/>
      <c r="K256" s="34"/>
      <c r="L256" s="34"/>
      <c r="M256" s="34"/>
      <c r="N256" s="34"/>
      <c r="O256" s="34"/>
      <c r="P256" s="39"/>
      <c r="R256" s="40"/>
      <c r="S256" s="40"/>
      <c r="T256" s="40"/>
      <c r="U256" s="40"/>
    </row>
    <row r="257" spans="4:21" s="37" customFormat="1" ht="15.75" customHeight="1" x14ac:dyDescent="0.35">
      <c r="D257" s="40"/>
      <c r="E257" s="34"/>
      <c r="F257" s="34"/>
      <c r="G257" s="34"/>
      <c r="H257" s="34"/>
      <c r="I257" s="34"/>
      <c r="J257" s="39"/>
      <c r="K257" s="34"/>
      <c r="L257" s="34"/>
      <c r="M257" s="34"/>
      <c r="N257" s="34"/>
      <c r="O257" s="34"/>
      <c r="P257" s="39"/>
      <c r="R257" s="40"/>
      <c r="S257" s="40"/>
      <c r="T257" s="40"/>
      <c r="U257" s="40"/>
    </row>
    <row r="258" spans="4:21" s="37" customFormat="1" ht="15.75" customHeight="1" x14ac:dyDescent="0.35">
      <c r="D258" s="40"/>
      <c r="E258" s="34"/>
      <c r="F258" s="34"/>
      <c r="G258" s="34"/>
      <c r="H258" s="34"/>
      <c r="I258" s="34"/>
      <c r="J258" s="39"/>
      <c r="K258" s="34"/>
      <c r="L258" s="34"/>
      <c r="M258" s="34"/>
      <c r="N258" s="34"/>
      <c r="O258" s="34"/>
      <c r="P258" s="39"/>
      <c r="R258" s="40"/>
      <c r="S258" s="40"/>
      <c r="T258" s="40"/>
      <c r="U258" s="40"/>
    </row>
    <row r="259" spans="4:21" s="37" customFormat="1" ht="15.75" customHeight="1" x14ac:dyDescent="0.35">
      <c r="D259" s="40"/>
      <c r="E259" s="34"/>
      <c r="F259" s="34"/>
      <c r="G259" s="34"/>
      <c r="H259" s="34"/>
      <c r="I259" s="34"/>
      <c r="J259" s="39"/>
      <c r="K259" s="34"/>
      <c r="L259" s="34"/>
      <c r="M259" s="34"/>
      <c r="N259" s="34"/>
      <c r="O259" s="34"/>
      <c r="P259" s="39"/>
      <c r="R259" s="40"/>
      <c r="S259" s="40"/>
      <c r="T259" s="40"/>
      <c r="U259" s="40"/>
    </row>
    <row r="260" spans="4:21" s="37" customFormat="1" ht="15.75" customHeight="1" x14ac:dyDescent="0.35">
      <c r="D260" s="40"/>
      <c r="E260" s="34"/>
      <c r="F260" s="34"/>
      <c r="G260" s="34"/>
      <c r="H260" s="34"/>
      <c r="I260" s="34"/>
      <c r="J260" s="39"/>
      <c r="K260" s="34"/>
      <c r="L260" s="34"/>
      <c r="M260" s="34"/>
      <c r="N260" s="34"/>
      <c r="O260" s="34"/>
      <c r="P260" s="39"/>
      <c r="R260" s="40"/>
      <c r="S260" s="40"/>
      <c r="T260" s="40"/>
      <c r="U260" s="40"/>
    </row>
    <row r="261" spans="4:21" s="37" customFormat="1" ht="15.75" customHeight="1" x14ac:dyDescent="0.35">
      <c r="D261" s="40"/>
      <c r="E261" s="34"/>
      <c r="F261" s="34"/>
      <c r="G261" s="34"/>
      <c r="H261" s="34"/>
      <c r="I261" s="34"/>
      <c r="J261" s="39"/>
      <c r="K261" s="34"/>
      <c r="L261" s="34"/>
      <c r="M261" s="34"/>
      <c r="N261" s="34"/>
      <c r="O261" s="34"/>
      <c r="P261" s="39"/>
      <c r="R261" s="40"/>
      <c r="S261" s="40"/>
      <c r="T261" s="40"/>
      <c r="U261" s="40"/>
    </row>
    <row r="262" spans="4:21" s="37" customFormat="1" ht="15.75" customHeight="1" x14ac:dyDescent="0.35">
      <c r="D262" s="40"/>
      <c r="E262" s="34"/>
      <c r="F262" s="34"/>
      <c r="G262" s="34"/>
      <c r="H262" s="34"/>
      <c r="I262" s="34"/>
      <c r="J262" s="39"/>
      <c r="K262" s="34"/>
      <c r="L262" s="34"/>
      <c r="M262" s="34"/>
      <c r="N262" s="34"/>
      <c r="O262" s="34"/>
      <c r="P262" s="39"/>
      <c r="R262" s="40"/>
      <c r="S262" s="40"/>
      <c r="T262" s="40"/>
      <c r="U262" s="40"/>
    </row>
    <row r="263" spans="4:21" s="37" customFormat="1" ht="15.75" customHeight="1" x14ac:dyDescent="0.35">
      <c r="D263" s="40"/>
      <c r="E263" s="34"/>
      <c r="F263" s="34"/>
      <c r="G263" s="34"/>
      <c r="H263" s="34"/>
      <c r="I263" s="34"/>
      <c r="J263" s="39"/>
      <c r="K263" s="34"/>
      <c r="L263" s="34"/>
      <c r="M263" s="34"/>
      <c r="N263" s="34"/>
      <c r="O263" s="34"/>
      <c r="P263" s="39"/>
      <c r="R263" s="40"/>
      <c r="S263" s="40"/>
      <c r="T263" s="40"/>
      <c r="U263" s="40"/>
    </row>
    <row r="264" spans="4:21" s="37" customFormat="1" ht="15.75" customHeight="1" x14ac:dyDescent="0.35">
      <c r="D264" s="40"/>
      <c r="E264" s="34"/>
      <c r="F264" s="34"/>
      <c r="G264" s="34"/>
      <c r="H264" s="34"/>
      <c r="I264" s="34"/>
      <c r="J264" s="39"/>
      <c r="K264" s="34"/>
      <c r="L264" s="34"/>
      <c r="M264" s="34"/>
      <c r="N264" s="34"/>
      <c r="O264" s="34"/>
      <c r="P264" s="39"/>
      <c r="R264" s="40"/>
      <c r="S264" s="40"/>
      <c r="T264" s="40"/>
      <c r="U264" s="40"/>
    </row>
    <row r="265" spans="4:21" s="37" customFormat="1" ht="15.75" customHeight="1" x14ac:dyDescent="0.35">
      <c r="D265" s="40"/>
      <c r="E265" s="34"/>
      <c r="F265" s="34"/>
      <c r="G265" s="34"/>
      <c r="H265" s="34"/>
      <c r="I265" s="34"/>
      <c r="J265" s="39"/>
      <c r="K265" s="34"/>
      <c r="L265" s="34"/>
      <c r="M265" s="34"/>
      <c r="N265" s="34"/>
      <c r="O265" s="34"/>
      <c r="P265" s="39"/>
      <c r="R265" s="40"/>
      <c r="S265" s="40"/>
      <c r="T265" s="40"/>
      <c r="U265" s="40"/>
    </row>
    <row r="266" spans="4:21" s="37" customFormat="1" ht="15.75" customHeight="1" x14ac:dyDescent="0.35">
      <c r="D266" s="40"/>
      <c r="E266" s="34"/>
      <c r="F266" s="34"/>
      <c r="G266" s="34"/>
      <c r="H266" s="34"/>
      <c r="I266" s="34"/>
      <c r="J266" s="39"/>
      <c r="K266" s="34"/>
      <c r="L266" s="34"/>
      <c r="M266" s="34"/>
      <c r="N266" s="34"/>
      <c r="O266" s="34"/>
      <c r="P266" s="39"/>
      <c r="R266" s="40"/>
      <c r="S266" s="40"/>
      <c r="T266" s="40"/>
      <c r="U266" s="40"/>
    </row>
    <row r="267" spans="4:21" s="37" customFormat="1" ht="15.75" customHeight="1" x14ac:dyDescent="0.35">
      <c r="D267" s="40"/>
      <c r="E267" s="34"/>
      <c r="F267" s="34"/>
      <c r="G267" s="34"/>
      <c r="H267" s="34"/>
      <c r="I267" s="34"/>
      <c r="J267" s="39"/>
      <c r="K267" s="34"/>
      <c r="L267" s="34"/>
      <c r="M267" s="34"/>
      <c r="N267" s="34"/>
      <c r="O267" s="34"/>
      <c r="P267" s="39"/>
      <c r="R267" s="40"/>
      <c r="S267" s="40"/>
      <c r="T267" s="40"/>
      <c r="U267" s="40"/>
    </row>
    <row r="268" spans="4:21" s="37" customFormat="1" ht="15.75" customHeight="1" x14ac:dyDescent="0.35">
      <c r="D268" s="40"/>
      <c r="E268" s="34"/>
      <c r="F268" s="34"/>
      <c r="G268" s="34"/>
      <c r="H268" s="34"/>
      <c r="I268" s="34"/>
      <c r="J268" s="39"/>
      <c r="K268" s="34"/>
      <c r="L268" s="34"/>
      <c r="M268" s="34"/>
      <c r="N268" s="34"/>
      <c r="O268" s="34"/>
      <c r="P268" s="39"/>
      <c r="R268" s="40"/>
      <c r="S268" s="40"/>
      <c r="T268" s="40"/>
      <c r="U268" s="40"/>
    </row>
    <row r="269" spans="4:21" s="37" customFormat="1" ht="15.75" customHeight="1" x14ac:dyDescent="0.35">
      <c r="D269" s="40"/>
      <c r="E269" s="34"/>
      <c r="F269" s="34"/>
      <c r="G269" s="34"/>
      <c r="H269" s="34"/>
      <c r="I269" s="34"/>
      <c r="J269" s="39"/>
      <c r="K269" s="34"/>
      <c r="L269" s="34"/>
      <c r="M269" s="34"/>
      <c r="N269" s="34"/>
      <c r="O269" s="34"/>
      <c r="P269" s="39"/>
      <c r="R269" s="40"/>
      <c r="S269" s="40"/>
      <c r="T269" s="40"/>
      <c r="U269" s="40"/>
    </row>
    <row r="270" spans="4:21" s="37" customFormat="1" ht="15.75" customHeight="1" x14ac:dyDescent="0.35">
      <c r="D270" s="40"/>
      <c r="E270" s="34"/>
      <c r="F270" s="34"/>
      <c r="G270" s="34"/>
      <c r="H270" s="34"/>
      <c r="I270" s="34"/>
      <c r="J270" s="39"/>
      <c r="K270" s="34"/>
      <c r="L270" s="34"/>
      <c r="M270" s="34"/>
      <c r="N270" s="34"/>
      <c r="O270" s="34"/>
      <c r="P270" s="39"/>
      <c r="R270" s="40"/>
      <c r="S270" s="40"/>
      <c r="T270" s="40"/>
      <c r="U270" s="40"/>
    </row>
    <row r="271" spans="4:21" s="37" customFormat="1" ht="15.75" customHeight="1" x14ac:dyDescent="0.35">
      <c r="D271" s="40"/>
      <c r="E271" s="34"/>
      <c r="F271" s="34"/>
      <c r="G271" s="34"/>
      <c r="H271" s="34"/>
      <c r="I271" s="34"/>
      <c r="J271" s="39"/>
      <c r="K271" s="34"/>
      <c r="L271" s="34"/>
      <c r="M271" s="34"/>
      <c r="N271" s="34"/>
      <c r="O271" s="34"/>
      <c r="P271" s="39"/>
      <c r="R271" s="40"/>
      <c r="S271" s="40"/>
      <c r="T271" s="40"/>
      <c r="U271" s="40"/>
    </row>
    <row r="272" spans="4:21" s="37" customFormat="1" ht="15.75" customHeight="1" x14ac:dyDescent="0.35">
      <c r="D272" s="40"/>
      <c r="E272" s="34"/>
      <c r="F272" s="34"/>
      <c r="G272" s="34"/>
      <c r="H272" s="34"/>
      <c r="I272" s="34"/>
      <c r="J272" s="39"/>
      <c r="K272" s="34"/>
      <c r="L272" s="34"/>
      <c r="M272" s="34"/>
      <c r="N272" s="34"/>
      <c r="O272" s="34"/>
      <c r="P272" s="39"/>
      <c r="R272" s="40"/>
      <c r="S272" s="40"/>
      <c r="T272" s="40"/>
      <c r="U272" s="40"/>
    </row>
    <row r="273" spans="4:21" s="37" customFormat="1" ht="15.75" customHeight="1" x14ac:dyDescent="0.35">
      <c r="D273" s="40"/>
      <c r="E273" s="34"/>
      <c r="F273" s="34"/>
      <c r="G273" s="34"/>
      <c r="H273" s="34"/>
      <c r="I273" s="34"/>
      <c r="J273" s="39"/>
      <c r="K273" s="34"/>
      <c r="L273" s="34"/>
      <c r="M273" s="34"/>
      <c r="N273" s="34"/>
      <c r="O273" s="34"/>
      <c r="P273" s="39"/>
      <c r="R273" s="40"/>
      <c r="S273" s="40"/>
      <c r="T273" s="40"/>
      <c r="U273" s="40"/>
    </row>
    <row r="274" spans="4:21" s="37" customFormat="1" ht="15.75" customHeight="1" x14ac:dyDescent="0.35">
      <c r="D274" s="40"/>
      <c r="E274" s="34"/>
      <c r="F274" s="34"/>
      <c r="G274" s="34"/>
      <c r="H274" s="34"/>
      <c r="I274" s="34"/>
      <c r="J274" s="39"/>
      <c r="K274" s="34"/>
      <c r="L274" s="34"/>
      <c r="M274" s="34"/>
      <c r="N274" s="34"/>
      <c r="O274" s="34"/>
      <c r="P274" s="39"/>
      <c r="R274" s="40"/>
      <c r="S274" s="40"/>
      <c r="T274" s="40"/>
      <c r="U274" s="40"/>
    </row>
    <row r="275" spans="4:21" s="37" customFormat="1" ht="15.75" customHeight="1" x14ac:dyDescent="0.35">
      <c r="D275" s="40"/>
      <c r="E275" s="34"/>
      <c r="F275" s="34"/>
      <c r="G275" s="34"/>
      <c r="H275" s="34"/>
      <c r="I275" s="34"/>
      <c r="J275" s="39"/>
      <c r="K275" s="34"/>
      <c r="L275" s="34"/>
      <c r="M275" s="34"/>
      <c r="N275" s="34"/>
      <c r="O275" s="34"/>
      <c r="P275" s="39"/>
      <c r="R275" s="40"/>
      <c r="S275" s="40"/>
      <c r="T275" s="40"/>
      <c r="U275" s="40"/>
    </row>
    <row r="276" spans="4:21" s="37" customFormat="1" ht="15.75" customHeight="1" x14ac:dyDescent="0.35">
      <c r="D276" s="40"/>
      <c r="E276" s="34"/>
      <c r="F276" s="34"/>
      <c r="G276" s="34"/>
      <c r="H276" s="34"/>
      <c r="I276" s="34"/>
      <c r="J276" s="39"/>
      <c r="K276" s="34"/>
      <c r="L276" s="34"/>
      <c r="M276" s="34"/>
      <c r="N276" s="34"/>
      <c r="O276" s="34"/>
      <c r="P276" s="39"/>
      <c r="R276" s="40"/>
      <c r="S276" s="40"/>
      <c r="T276" s="40"/>
      <c r="U276" s="40"/>
    </row>
    <row r="277" spans="4:21" s="37" customFormat="1" ht="15.75" customHeight="1" x14ac:dyDescent="0.35">
      <c r="D277" s="40"/>
      <c r="E277" s="34"/>
      <c r="F277" s="34"/>
      <c r="G277" s="34"/>
      <c r="H277" s="34"/>
      <c r="I277" s="34"/>
      <c r="J277" s="39"/>
      <c r="K277" s="34"/>
      <c r="L277" s="34"/>
      <c r="M277" s="34"/>
      <c r="N277" s="34"/>
      <c r="O277" s="34"/>
      <c r="P277" s="39"/>
      <c r="R277" s="40"/>
      <c r="S277" s="40"/>
      <c r="T277" s="40"/>
      <c r="U277" s="40"/>
    </row>
    <row r="278" spans="4:21" s="37" customFormat="1" ht="15.75" customHeight="1" x14ac:dyDescent="0.35">
      <c r="D278" s="40"/>
      <c r="E278" s="34"/>
      <c r="F278" s="34"/>
      <c r="G278" s="34"/>
      <c r="H278" s="34"/>
      <c r="I278" s="34"/>
      <c r="J278" s="39"/>
      <c r="K278" s="34"/>
      <c r="L278" s="34"/>
      <c r="M278" s="34"/>
      <c r="N278" s="34"/>
      <c r="O278" s="34"/>
      <c r="P278" s="39"/>
      <c r="R278" s="40"/>
      <c r="S278" s="40"/>
      <c r="T278" s="40"/>
      <c r="U278" s="40"/>
    </row>
    <row r="279" spans="4:21" s="37" customFormat="1" ht="15.75" customHeight="1" x14ac:dyDescent="0.35">
      <c r="D279" s="40"/>
      <c r="E279" s="34"/>
      <c r="F279" s="34"/>
      <c r="G279" s="34"/>
      <c r="H279" s="34"/>
      <c r="I279" s="34"/>
      <c r="J279" s="39"/>
      <c r="K279" s="34"/>
      <c r="L279" s="34"/>
      <c r="M279" s="34"/>
      <c r="N279" s="34"/>
      <c r="O279" s="34"/>
      <c r="P279" s="39"/>
      <c r="R279" s="40"/>
      <c r="S279" s="40"/>
      <c r="T279" s="40"/>
      <c r="U279" s="40"/>
    </row>
    <row r="280" spans="4:21" s="37" customFormat="1" ht="15.75" customHeight="1" x14ac:dyDescent="0.35">
      <c r="D280" s="40"/>
      <c r="E280" s="34"/>
      <c r="F280" s="34"/>
      <c r="G280" s="34"/>
      <c r="H280" s="34"/>
      <c r="I280" s="34"/>
      <c r="J280" s="39"/>
      <c r="K280" s="34"/>
      <c r="L280" s="34"/>
      <c r="M280" s="34"/>
      <c r="N280" s="34"/>
      <c r="O280" s="34"/>
      <c r="P280" s="39"/>
      <c r="R280" s="40"/>
      <c r="S280" s="40"/>
      <c r="T280" s="40"/>
      <c r="U280" s="40"/>
    </row>
    <row r="281" spans="4:21" s="37" customFormat="1" ht="15.75" customHeight="1" x14ac:dyDescent="0.35">
      <c r="D281" s="40"/>
      <c r="E281" s="34"/>
      <c r="F281" s="34"/>
      <c r="G281" s="34"/>
      <c r="H281" s="34"/>
      <c r="I281" s="34"/>
      <c r="J281" s="39"/>
      <c r="K281" s="34"/>
      <c r="L281" s="34"/>
      <c r="M281" s="34"/>
      <c r="N281" s="34"/>
      <c r="O281" s="34"/>
      <c r="P281" s="39"/>
      <c r="R281" s="40"/>
      <c r="S281" s="40"/>
      <c r="T281" s="40"/>
      <c r="U281" s="40"/>
    </row>
    <row r="282" spans="4:21" s="37" customFormat="1" ht="15.75" customHeight="1" x14ac:dyDescent="0.35">
      <c r="D282" s="40"/>
      <c r="E282" s="34"/>
      <c r="F282" s="34"/>
      <c r="G282" s="34"/>
      <c r="H282" s="34"/>
      <c r="I282" s="34"/>
      <c r="J282" s="39"/>
      <c r="K282" s="34"/>
      <c r="L282" s="34"/>
      <c r="M282" s="34"/>
      <c r="N282" s="34"/>
      <c r="O282" s="34"/>
      <c r="P282" s="39"/>
      <c r="R282" s="40"/>
      <c r="S282" s="40"/>
      <c r="T282" s="40"/>
      <c r="U282" s="40"/>
    </row>
    <row r="283" spans="4:21" s="37" customFormat="1" ht="15.75" customHeight="1" x14ac:dyDescent="0.35">
      <c r="D283" s="40"/>
      <c r="E283" s="34"/>
      <c r="F283" s="34"/>
      <c r="G283" s="34"/>
      <c r="H283" s="34"/>
      <c r="I283" s="34"/>
      <c r="J283" s="39"/>
      <c r="K283" s="34"/>
      <c r="L283" s="34"/>
      <c r="M283" s="34"/>
      <c r="N283" s="34"/>
      <c r="O283" s="34"/>
      <c r="P283" s="39"/>
      <c r="R283" s="40"/>
      <c r="S283" s="40"/>
      <c r="T283" s="40"/>
      <c r="U283" s="40"/>
    </row>
    <row r="284" spans="4:21" s="37" customFormat="1" ht="15.75" customHeight="1" x14ac:dyDescent="0.35">
      <c r="D284" s="40"/>
      <c r="E284" s="34"/>
      <c r="F284" s="34"/>
      <c r="G284" s="34"/>
      <c r="H284" s="34"/>
      <c r="I284" s="34"/>
      <c r="J284" s="39"/>
      <c r="K284" s="34"/>
      <c r="L284" s="34"/>
      <c r="M284" s="34"/>
      <c r="N284" s="34"/>
      <c r="O284" s="34"/>
      <c r="P284" s="39"/>
      <c r="R284" s="40"/>
      <c r="S284" s="40"/>
      <c r="T284" s="40"/>
      <c r="U284" s="40"/>
    </row>
    <row r="285" spans="4:21" s="37" customFormat="1" ht="15.75" customHeight="1" x14ac:dyDescent="0.35">
      <c r="D285" s="40"/>
      <c r="E285" s="34"/>
      <c r="F285" s="34"/>
      <c r="G285" s="34"/>
      <c r="H285" s="34"/>
      <c r="I285" s="34"/>
      <c r="J285" s="39"/>
      <c r="K285" s="34"/>
      <c r="L285" s="34"/>
      <c r="M285" s="34"/>
      <c r="N285" s="34"/>
      <c r="O285" s="34"/>
      <c r="P285" s="39"/>
      <c r="R285" s="40"/>
      <c r="S285" s="40"/>
      <c r="T285" s="40"/>
      <c r="U285" s="40"/>
    </row>
    <row r="286" spans="4:21" s="37" customFormat="1" ht="15.75" customHeight="1" x14ac:dyDescent="0.35">
      <c r="D286" s="40"/>
      <c r="E286" s="34"/>
      <c r="F286" s="34"/>
      <c r="G286" s="34"/>
      <c r="H286" s="34"/>
      <c r="I286" s="34"/>
      <c r="J286" s="39"/>
      <c r="K286" s="34"/>
      <c r="L286" s="34"/>
      <c r="M286" s="34"/>
      <c r="N286" s="34"/>
      <c r="O286" s="34"/>
      <c r="P286" s="39"/>
      <c r="R286" s="40"/>
      <c r="S286" s="40"/>
      <c r="T286" s="40"/>
      <c r="U286" s="40"/>
    </row>
    <row r="287" spans="4:21" s="37" customFormat="1" ht="15.75" customHeight="1" x14ac:dyDescent="0.35">
      <c r="D287" s="40"/>
      <c r="E287" s="34"/>
      <c r="F287" s="34"/>
      <c r="G287" s="34"/>
      <c r="H287" s="34"/>
      <c r="I287" s="34"/>
      <c r="J287" s="39"/>
      <c r="K287" s="34"/>
      <c r="L287" s="34"/>
      <c r="M287" s="34"/>
      <c r="N287" s="34"/>
      <c r="O287" s="34"/>
      <c r="P287" s="39"/>
      <c r="R287" s="40"/>
      <c r="S287" s="40"/>
      <c r="T287" s="40"/>
      <c r="U287" s="40"/>
    </row>
    <row r="288" spans="4:21" s="37" customFormat="1" ht="15.75" customHeight="1" x14ac:dyDescent="0.35">
      <c r="D288" s="40"/>
      <c r="E288" s="34"/>
      <c r="F288" s="34"/>
      <c r="G288" s="34"/>
      <c r="H288" s="34"/>
      <c r="I288" s="34"/>
      <c r="J288" s="39"/>
      <c r="K288" s="34"/>
      <c r="L288" s="34"/>
      <c r="M288" s="34"/>
      <c r="N288" s="34"/>
      <c r="O288" s="34"/>
      <c r="P288" s="39"/>
      <c r="R288" s="40"/>
      <c r="S288" s="40"/>
      <c r="T288" s="40"/>
      <c r="U288" s="40"/>
    </row>
    <row r="289" spans="4:21" s="37" customFormat="1" ht="15.75" customHeight="1" x14ac:dyDescent="0.35">
      <c r="D289" s="40"/>
      <c r="E289" s="34"/>
      <c r="F289" s="34"/>
      <c r="G289" s="34"/>
      <c r="H289" s="34"/>
      <c r="I289" s="34"/>
      <c r="J289" s="39"/>
      <c r="K289" s="34"/>
      <c r="L289" s="34"/>
      <c r="M289" s="34"/>
      <c r="N289" s="34"/>
      <c r="O289" s="34"/>
      <c r="P289" s="39"/>
      <c r="R289" s="40"/>
      <c r="S289" s="40"/>
      <c r="T289" s="40"/>
      <c r="U289" s="40"/>
    </row>
    <row r="290" spans="4:21" s="37" customFormat="1" ht="15.75" customHeight="1" x14ac:dyDescent="0.35">
      <c r="D290" s="40"/>
      <c r="E290" s="34"/>
      <c r="F290" s="34"/>
      <c r="G290" s="34"/>
      <c r="H290" s="34"/>
      <c r="I290" s="34"/>
      <c r="J290" s="39"/>
      <c r="K290" s="34"/>
      <c r="L290" s="34"/>
      <c r="M290" s="34"/>
      <c r="N290" s="34"/>
      <c r="O290" s="34"/>
      <c r="P290" s="39"/>
      <c r="R290" s="40"/>
      <c r="S290" s="40"/>
      <c r="T290" s="40"/>
      <c r="U290" s="40"/>
    </row>
    <row r="291" spans="4:21" s="37" customFormat="1" ht="15.75" customHeight="1" x14ac:dyDescent="0.35">
      <c r="D291" s="40"/>
      <c r="E291" s="34"/>
      <c r="F291" s="34"/>
      <c r="G291" s="34"/>
      <c r="H291" s="34"/>
      <c r="I291" s="34"/>
      <c r="J291" s="39"/>
      <c r="K291" s="34"/>
      <c r="L291" s="34"/>
      <c r="M291" s="34"/>
      <c r="N291" s="34"/>
      <c r="O291" s="34"/>
      <c r="P291" s="39"/>
      <c r="R291" s="40"/>
      <c r="S291" s="40"/>
      <c r="T291" s="40"/>
      <c r="U291" s="40"/>
    </row>
    <row r="292" spans="4:21" s="37" customFormat="1" ht="15.75" customHeight="1" x14ac:dyDescent="0.35">
      <c r="D292" s="40"/>
      <c r="E292" s="34"/>
      <c r="F292" s="34"/>
      <c r="G292" s="34"/>
      <c r="H292" s="34"/>
      <c r="I292" s="34"/>
      <c r="J292" s="39"/>
      <c r="K292" s="34"/>
      <c r="L292" s="34"/>
      <c r="M292" s="34"/>
      <c r="N292" s="34"/>
      <c r="O292" s="34"/>
      <c r="P292" s="39"/>
      <c r="R292" s="40"/>
      <c r="S292" s="40"/>
      <c r="T292" s="40"/>
      <c r="U292" s="40"/>
    </row>
    <row r="293" spans="4:21" s="37" customFormat="1" ht="15.75" customHeight="1" x14ac:dyDescent="0.35">
      <c r="D293" s="40"/>
      <c r="E293" s="34"/>
      <c r="F293" s="34"/>
      <c r="G293" s="34"/>
      <c r="H293" s="34"/>
      <c r="I293" s="34"/>
      <c r="J293" s="39"/>
      <c r="K293" s="34"/>
      <c r="L293" s="34"/>
      <c r="M293" s="34"/>
      <c r="N293" s="34"/>
      <c r="O293" s="34"/>
      <c r="P293" s="39"/>
      <c r="R293" s="40"/>
      <c r="S293" s="40"/>
      <c r="T293" s="40"/>
      <c r="U293" s="40"/>
    </row>
    <row r="294" spans="4:21" s="37" customFormat="1" ht="15.75" customHeight="1" x14ac:dyDescent="0.35">
      <c r="D294" s="40"/>
      <c r="E294" s="34"/>
      <c r="F294" s="34"/>
      <c r="G294" s="34"/>
      <c r="H294" s="34"/>
      <c r="I294" s="34"/>
      <c r="J294" s="39"/>
      <c r="K294" s="34"/>
      <c r="L294" s="34"/>
      <c r="M294" s="34"/>
      <c r="N294" s="34"/>
      <c r="O294" s="34"/>
      <c r="P294" s="39"/>
      <c r="R294" s="40"/>
      <c r="S294" s="40"/>
      <c r="T294" s="40"/>
      <c r="U294" s="40"/>
    </row>
    <row r="295" spans="4:21" s="37" customFormat="1" ht="15.75" customHeight="1" x14ac:dyDescent="0.35">
      <c r="D295" s="40"/>
      <c r="E295" s="34"/>
      <c r="F295" s="34"/>
      <c r="G295" s="34"/>
      <c r="H295" s="34"/>
      <c r="I295" s="34"/>
      <c r="J295" s="39"/>
      <c r="K295" s="34"/>
      <c r="L295" s="34"/>
      <c r="M295" s="34"/>
      <c r="N295" s="34"/>
      <c r="O295" s="34"/>
      <c r="P295" s="39"/>
      <c r="R295" s="40"/>
      <c r="S295" s="40"/>
      <c r="T295" s="40"/>
      <c r="U295" s="40"/>
    </row>
    <row r="296" spans="4:21" s="37" customFormat="1" ht="15.75" customHeight="1" x14ac:dyDescent="0.35">
      <c r="D296" s="40"/>
      <c r="E296" s="34"/>
      <c r="F296" s="34"/>
      <c r="G296" s="34"/>
      <c r="H296" s="34"/>
      <c r="I296" s="34"/>
      <c r="J296" s="39"/>
      <c r="K296" s="34"/>
      <c r="L296" s="34"/>
      <c r="M296" s="34"/>
      <c r="N296" s="34"/>
      <c r="O296" s="34"/>
      <c r="P296" s="39"/>
      <c r="R296" s="40"/>
      <c r="S296" s="40"/>
      <c r="T296" s="40"/>
      <c r="U296" s="40"/>
    </row>
    <row r="297" spans="4:21" s="37" customFormat="1" ht="15.75" customHeight="1" x14ac:dyDescent="0.35">
      <c r="D297" s="40"/>
      <c r="E297" s="34"/>
      <c r="F297" s="34"/>
      <c r="G297" s="34"/>
      <c r="H297" s="34"/>
      <c r="I297" s="34"/>
      <c r="J297" s="39"/>
      <c r="K297" s="34"/>
      <c r="L297" s="34"/>
      <c r="M297" s="34"/>
      <c r="N297" s="34"/>
      <c r="O297" s="34"/>
      <c r="P297" s="39"/>
      <c r="R297" s="40"/>
      <c r="S297" s="40"/>
      <c r="T297" s="40"/>
      <c r="U297" s="40"/>
    </row>
    <row r="298" spans="4:21" s="37" customFormat="1" ht="15.75" customHeight="1" x14ac:dyDescent="0.35">
      <c r="D298" s="40"/>
      <c r="E298" s="34"/>
      <c r="F298" s="34"/>
      <c r="G298" s="34"/>
      <c r="H298" s="34"/>
      <c r="I298" s="34"/>
      <c r="J298" s="39"/>
      <c r="K298" s="34"/>
      <c r="L298" s="34"/>
      <c r="M298" s="34"/>
      <c r="N298" s="34"/>
      <c r="O298" s="34"/>
      <c r="P298" s="39"/>
      <c r="R298" s="40"/>
      <c r="S298" s="40"/>
      <c r="T298" s="40"/>
      <c r="U298" s="40"/>
    </row>
    <row r="299" spans="4:21" s="37" customFormat="1" ht="15.75" customHeight="1" x14ac:dyDescent="0.35">
      <c r="D299" s="40"/>
      <c r="E299" s="34"/>
      <c r="F299" s="34"/>
      <c r="G299" s="34"/>
      <c r="H299" s="34"/>
      <c r="I299" s="34"/>
      <c r="J299" s="39"/>
      <c r="K299" s="34"/>
      <c r="L299" s="34"/>
      <c r="M299" s="34"/>
      <c r="N299" s="34"/>
      <c r="O299" s="34"/>
      <c r="P299" s="39"/>
      <c r="R299" s="40"/>
      <c r="S299" s="40"/>
      <c r="T299" s="40"/>
      <c r="U299" s="40"/>
    </row>
    <row r="300" spans="4:21" s="37" customFormat="1" ht="15.75" customHeight="1" x14ac:dyDescent="0.35">
      <c r="D300" s="40"/>
      <c r="E300" s="34"/>
      <c r="F300" s="34"/>
      <c r="G300" s="34"/>
      <c r="H300" s="34"/>
      <c r="I300" s="34"/>
      <c r="J300" s="39"/>
      <c r="K300" s="34"/>
      <c r="L300" s="34"/>
      <c r="M300" s="34"/>
      <c r="N300" s="34"/>
      <c r="O300" s="34"/>
      <c r="P300" s="39"/>
      <c r="R300" s="40"/>
      <c r="S300" s="40"/>
      <c r="T300" s="40"/>
      <c r="U300" s="40"/>
    </row>
    <row r="301" spans="4:21" s="37" customFormat="1" ht="15.75" customHeight="1" x14ac:dyDescent="0.35">
      <c r="D301" s="40"/>
      <c r="E301" s="34"/>
      <c r="F301" s="34"/>
      <c r="G301" s="34"/>
      <c r="H301" s="34"/>
      <c r="I301" s="34"/>
      <c r="J301" s="39"/>
      <c r="K301" s="34"/>
      <c r="L301" s="34"/>
      <c r="M301" s="34"/>
      <c r="N301" s="34"/>
      <c r="O301" s="34"/>
      <c r="P301" s="39"/>
      <c r="R301" s="40"/>
      <c r="S301" s="40"/>
      <c r="T301" s="40"/>
      <c r="U301" s="40"/>
    </row>
    <row r="302" spans="4:21" s="37" customFormat="1" ht="15.75" customHeight="1" x14ac:dyDescent="0.35">
      <c r="D302" s="40"/>
      <c r="E302" s="34"/>
      <c r="F302" s="34"/>
      <c r="G302" s="34"/>
      <c r="H302" s="34"/>
      <c r="I302" s="34"/>
      <c r="J302" s="39"/>
      <c r="K302" s="34"/>
      <c r="L302" s="34"/>
      <c r="M302" s="34"/>
      <c r="N302" s="34"/>
      <c r="O302" s="34"/>
      <c r="P302" s="39"/>
      <c r="R302" s="40"/>
      <c r="S302" s="40"/>
      <c r="T302" s="40"/>
      <c r="U302" s="40"/>
    </row>
    <row r="303" spans="4:21" s="37" customFormat="1" ht="15.75" customHeight="1" x14ac:dyDescent="0.35">
      <c r="D303" s="40"/>
      <c r="E303" s="34"/>
      <c r="F303" s="34"/>
      <c r="G303" s="34"/>
      <c r="H303" s="34"/>
      <c r="I303" s="34"/>
      <c r="J303" s="39"/>
      <c r="K303" s="34"/>
      <c r="L303" s="34"/>
      <c r="M303" s="34"/>
      <c r="N303" s="34"/>
      <c r="O303" s="34"/>
      <c r="P303" s="39"/>
      <c r="R303" s="40"/>
      <c r="S303" s="40"/>
      <c r="T303" s="40"/>
      <c r="U303" s="40"/>
    </row>
    <row r="304" spans="4:21" s="37" customFormat="1" ht="15.75" customHeight="1" x14ac:dyDescent="0.35">
      <c r="D304" s="40"/>
      <c r="E304" s="34"/>
      <c r="F304" s="34"/>
      <c r="G304" s="34"/>
      <c r="H304" s="34"/>
      <c r="I304" s="34"/>
      <c r="J304" s="39"/>
      <c r="K304" s="34"/>
      <c r="L304" s="34"/>
      <c r="M304" s="34"/>
      <c r="N304" s="34"/>
      <c r="O304" s="34"/>
      <c r="P304" s="39"/>
      <c r="R304" s="40"/>
      <c r="S304" s="40"/>
      <c r="T304" s="40"/>
      <c r="U304" s="40"/>
    </row>
    <row r="305" spans="4:21" s="37" customFormat="1" ht="15.75" customHeight="1" x14ac:dyDescent="0.35">
      <c r="D305" s="40"/>
      <c r="E305" s="34"/>
      <c r="F305" s="34"/>
      <c r="G305" s="34"/>
      <c r="H305" s="34"/>
      <c r="I305" s="34"/>
      <c r="J305" s="39"/>
      <c r="K305" s="34"/>
      <c r="L305" s="34"/>
      <c r="M305" s="34"/>
      <c r="N305" s="34"/>
      <c r="O305" s="34"/>
      <c r="P305" s="39"/>
      <c r="R305" s="40"/>
      <c r="S305" s="40"/>
      <c r="T305" s="40"/>
      <c r="U305" s="40"/>
    </row>
    <row r="306" spans="4:21" s="37" customFormat="1" ht="15.75" customHeight="1" x14ac:dyDescent="0.35">
      <c r="D306" s="40"/>
      <c r="E306" s="34"/>
      <c r="F306" s="34"/>
      <c r="G306" s="34"/>
      <c r="H306" s="34"/>
      <c r="I306" s="34"/>
      <c r="J306" s="39"/>
      <c r="K306" s="34"/>
      <c r="L306" s="34"/>
      <c r="M306" s="34"/>
      <c r="N306" s="34"/>
      <c r="O306" s="34"/>
      <c r="P306" s="39"/>
      <c r="R306" s="40"/>
      <c r="S306" s="40"/>
      <c r="T306" s="40"/>
      <c r="U306" s="40"/>
    </row>
    <row r="307" spans="4:21" s="37" customFormat="1" ht="15.75" customHeight="1" x14ac:dyDescent="0.35">
      <c r="D307" s="40"/>
      <c r="E307" s="34"/>
      <c r="F307" s="34"/>
      <c r="G307" s="34"/>
      <c r="H307" s="34"/>
      <c r="I307" s="34"/>
      <c r="J307" s="39"/>
      <c r="K307" s="34"/>
      <c r="L307" s="34"/>
      <c r="M307" s="34"/>
      <c r="N307" s="34"/>
      <c r="O307" s="34"/>
      <c r="P307" s="39"/>
      <c r="R307" s="40"/>
      <c r="S307" s="40"/>
      <c r="T307" s="40"/>
      <c r="U307" s="40"/>
    </row>
    <row r="308" spans="4:21" s="37" customFormat="1" ht="15.75" customHeight="1" x14ac:dyDescent="0.35">
      <c r="D308" s="40"/>
      <c r="E308" s="34"/>
      <c r="F308" s="34"/>
      <c r="G308" s="34"/>
      <c r="H308" s="34"/>
      <c r="I308" s="34"/>
      <c r="J308" s="39"/>
      <c r="K308" s="34"/>
      <c r="L308" s="34"/>
      <c r="M308" s="34"/>
      <c r="N308" s="34"/>
      <c r="O308" s="34"/>
      <c r="P308" s="39"/>
      <c r="R308" s="40"/>
      <c r="S308" s="40"/>
      <c r="T308" s="40"/>
      <c r="U308" s="40"/>
    </row>
    <row r="309" spans="4:21" s="37" customFormat="1" ht="15.75" customHeight="1" x14ac:dyDescent="0.35">
      <c r="D309" s="40"/>
      <c r="E309" s="34"/>
      <c r="F309" s="34"/>
      <c r="G309" s="34"/>
      <c r="H309" s="34"/>
      <c r="I309" s="34"/>
      <c r="J309" s="39"/>
      <c r="K309" s="34"/>
      <c r="L309" s="34"/>
      <c r="M309" s="34"/>
      <c r="N309" s="34"/>
      <c r="O309" s="34"/>
      <c r="P309" s="39"/>
      <c r="R309" s="40"/>
      <c r="S309" s="40"/>
      <c r="T309" s="40"/>
      <c r="U309" s="40"/>
    </row>
    <row r="310" spans="4:21" s="37" customFormat="1" ht="15.75" customHeight="1" x14ac:dyDescent="0.35">
      <c r="D310" s="40"/>
      <c r="E310" s="34"/>
      <c r="F310" s="34"/>
      <c r="G310" s="34"/>
      <c r="H310" s="34"/>
      <c r="I310" s="34"/>
      <c r="J310" s="39"/>
      <c r="K310" s="34"/>
      <c r="L310" s="34"/>
      <c r="M310" s="34"/>
      <c r="N310" s="34"/>
      <c r="O310" s="34"/>
      <c r="P310" s="39"/>
      <c r="R310" s="40"/>
      <c r="S310" s="40"/>
      <c r="T310" s="40"/>
      <c r="U310" s="40"/>
    </row>
    <row r="311" spans="4:21" s="37" customFormat="1" ht="15.75" customHeight="1" x14ac:dyDescent="0.35">
      <c r="D311" s="40"/>
      <c r="E311" s="34"/>
      <c r="F311" s="34"/>
      <c r="G311" s="34"/>
      <c r="H311" s="34"/>
      <c r="I311" s="34"/>
      <c r="J311" s="39"/>
      <c r="K311" s="34"/>
      <c r="L311" s="34"/>
      <c r="M311" s="34"/>
      <c r="N311" s="34"/>
      <c r="O311" s="34"/>
      <c r="P311" s="39"/>
      <c r="R311" s="40"/>
      <c r="S311" s="40"/>
      <c r="T311" s="40"/>
      <c r="U311" s="40"/>
    </row>
    <row r="312" spans="4:21" s="37" customFormat="1" ht="15.75" customHeight="1" x14ac:dyDescent="0.35">
      <c r="D312" s="40"/>
      <c r="E312" s="34"/>
      <c r="F312" s="34"/>
      <c r="G312" s="34"/>
      <c r="H312" s="34"/>
      <c r="I312" s="34"/>
      <c r="J312" s="39"/>
      <c r="K312" s="34"/>
      <c r="L312" s="34"/>
      <c r="M312" s="34"/>
      <c r="N312" s="34"/>
      <c r="O312" s="34"/>
      <c r="P312" s="39"/>
      <c r="R312" s="40"/>
      <c r="S312" s="40"/>
      <c r="T312" s="40"/>
      <c r="U312" s="40"/>
    </row>
    <row r="313" spans="4:21" s="37" customFormat="1" ht="15.75" customHeight="1" x14ac:dyDescent="0.35">
      <c r="D313" s="40"/>
      <c r="E313" s="34"/>
      <c r="F313" s="34"/>
      <c r="G313" s="34"/>
      <c r="H313" s="34"/>
      <c r="I313" s="34"/>
      <c r="J313" s="39"/>
      <c r="K313" s="34"/>
      <c r="L313" s="34"/>
      <c r="M313" s="34"/>
      <c r="N313" s="34"/>
      <c r="O313" s="34"/>
      <c r="P313" s="39"/>
      <c r="R313" s="40"/>
      <c r="S313" s="40"/>
      <c r="T313" s="40"/>
      <c r="U313" s="40"/>
    </row>
    <row r="314" spans="4:21" s="37" customFormat="1" ht="15.75" customHeight="1" x14ac:dyDescent="0.35">
      <c r="D314" s="40"/>
      <c r="E314" s="34"/>
      <c r="F314" s="34"/>
      <c r="G314" s="34"/>
      <c r="H314" s="34"/>
      <c r="I314" s="34"/>
      <c r="J314" s="39"/>
      <c r="K314" s="34"/>
      <c r="L314" s="34"/>
      <c r="M314" s="34"/>
      <c r="N314" s="34"/>
      <c r="O314" s="34"/>
      <c r="P314" s="39"/>
      <c r="R314" s="40"/>
      <c r="S314" s="40"/>
      <c r="T314" s="40"/>
      <c r="U314" s="40"/>
    </row>
    <row r="315" spans="4:21" s="37" customFormat="1" ht="15.75" customHeight="1" x14ac:dyDescent="0.35">
      <c r="D315" s="40"/>
      <c r="E315" s="34"/>
      <c r="F315" s="34"/>
      <c r="G315" s="34"/>
      <c r="H315" s="34"/>
      <c r="I315" s="34"/>
      <c r="J315" s="39"/>
      <c r="K315" s="34"/>
      <c r="L315" s="34"/>
      <c r="M315" s="34"/>
      <c r="N315" s="34"/>
      <c r="O315" s="34"/>
      <c r="P315" s="39"/>
      <c r="R315" s="40"/>
      <c r="S315" s="40"/>
      <c r="T315" s="40"/>
      <c r="U315" s="40"/>
    </row>
    <row r="316" spans="4:21" s="37" customFormat="1" ht="15.75" customHeight="1" x14ac:dyDescent="0.35">
      <c r="D316" s="40"/>
      <c r="E316" s="34"/>
      <c r="F316" s="34"/>
      <c r="G316" s="34"/>
      <c r="H316" s="34"/>
      <c r="I316" s="34"/>
      <c r="J316" s="39"/>
      <c r="K316" s="34"/>
      <c r="L316" s="34"/>
      <c r="M316" s="34"/>
      <c r="N316" s="34"/>
      <c r="O316" s="34"/>
      <c r="P316" s="39"/>
      <c r="R316" s="40"/>
      <c r="S316" s="40"/>
      <c r="T316" s="40"/>
      <c r="U316" s="40"/>
    </row>
    <row r="317" spans="4:21" s="37" customFormat="1" ht="15.75" customHeight="1" x14ac:dyDescent="0.35">
      <c r="D317" s="40"/>
      <c r="E317" s="34"/>
      <c r="F317" s="34"/>
      <c r="G317" s="34"/>
      <c r="H317" s="34"/>
      <c r="I317" s="34"/>
      <c r="J317" s="39"/>
      <c r="K317" s="34"/>
      <c r="L317" s="34"/>
      <c r="M317" s="34"/>
      <c r="N317" s="34"/>
      <c r="O317" s="34"/>
      <c r="P317" s="39"/>
      <c r="R317" s="40"/>
      <c r="S317" s="40"/>
      <c r="T317" s="40"/>
      <c r="U317" s="40"/>
    </row>
    <row r="318" spans="4:21" s="37" customFormat="1" ht="15.75" customHeight="1" x14ac:dyDescent="0.35">
      <c r="D318" s="40"/>
      <c r="E318" s="34"/>
      <c r="F318" s="34"/>
      <c r="G318" s="34"/>
      <c r="H318" s="34"/>
      <c r="I318" s="34"/>
      <c r="J318" s="39"/>
      <c r="K318" s="34"/>
      <c r="L318" s="34"/>
      <c r="M318" s="34"/>
      <c r="N318" s="34"/>
      <c r="O318" s="34"/>
      <c r="P318" s="39"/>
      <c r="R318" s="40"/>
      <c r="S318" s="40"/>
      <c r="T318" s="40"/>
      <c r="U318" s="40"/>
    </row>
    <row r="319" spans="4:21" s="37" customFormat="1" ht="15.75" customHeight="1" x14ac:dyDescent="0.35">
      <c r="D319" s="40"/>
      <c r="E319" s="34"/>
      <c r="F319" s="34"/>
      <c r="G319" s="34"/>
      <c r="H319" s="34"/>
      <c r="I319" s="34"/>
      <c r="J319" s="39"/>
      <c r="K319" s="34"/>
      <c r="L319" s="34"/>
      <c r="M319" s="34"/>
      <c r="N319" s="34"/>
      <c r="O319" s="34"/>
      <c r="P319" s="39"/>
      <c r="R319" s="40"/>
      <c r="S319" s="40"/>
      <c r="T319" s="40"/>
      <c r="U319" s="40"/>
    </row>
    <row r="320" spans="4:21" s="37" customFormat="1" ht="15.75" customHeight="1" x14ac:dyDescent="0.35">
      <c r="D320" s="40"/>
      <c r="E320" s="34"/>
      <c r="F320" s="34"/>
      <c r="G320" s="34"/>
      <c r="H320" s="34"/>
      <c r="I320" s="34"/>
      <c r="J320" s="39"/>
      <c r="K320" s="34"/>
      <c r="L320" s="34"/>
      <c r="M320" s="34"/>
      <c r="N320" s="34"/>
      <c r="O320" s="34"/>
      <c r="P320" s="39"/>
      <c r="R320" s="40"/>
      <c r="S320" s="40"/>
      <c r="T320" s="40"/>
      <c r="U320" s="40"/>
    </row>
    <row r="321" spans="4:21" s="37" customFormat="1" ht="15.75" customHeight="1" x14ac:dyDescent="0.35">
      <c r="D321" s="40"/>
      <c r="E321" s="34"/>
      <c r="F321" s="34"/>
      <c r="G321" s="34"/>
      <c r="H321" s="34"/>
      <c r="I321" s="34"/>
      <c r="J321" s="39"/>
      <c r="K321" s="34"/>
      <c r="L321" s="34"/>
      <c r="M321" s="34"/>
      <c r="N321" s="34"/>
      <c r="O321" s="34"/>
      <c r="P321" s="39"/>
      <c r="R321" s="40"/>
      <c r="S321" s="40"/>
      <c r="T321" s="40"/>
      <c r="U321" s="40"/>
    </row>
    <row r="322" spans="4:21" s="37" customFormat="1" ht="15.75" customHeight="1" x14ac:dyDescent="0.35">
      <c r="D322" s="40"/>
      <c r="E322" s="34"/>
      <c r="F322" s="34"/>
      <c r="G322" s="34"/>
      <c r="H322" s="34"/>
      <c r="I322" s="34"/>
      <c r="J322" s="39"/>
      <c r="K322" s="34"/>
      <c r="L322" s="34"/>
      <c r="M322" s="34"/>
      <c r="N322" s="34"/>
      <c r="O322" s="34"/>
      <c r="P322" s="39"/>
      <c r="R322" s="40"/>
      <c r="S322" s="40"/>
      <c r="T322" s="40"/>
      <c r="U322" s="40"/>
    </row>
    <row r="323" spans="4:21" s="37" customFormat="1" ht="15.75" customHeight="1" x14ac:dyDescent="0.35">
      <c r="D323" s="40"/>
      <c r="E323" s="34"/>
      <c r="F323" s="34"/>
      <c r="G323" s="34"/>
      <c r="H323" s="34"/>
      <c r="I323" s="34"/>
      <c r="J323" s="39"/>
      <c r="K323" s="34"/>
      <c r="L323" s="34"/>
      <c r="M323" s="34"/>
      <c r="N323" s="34"/>
      <c r="O323" s="34"/>
      <c r="P323" s="39"/>
      <c r="R323" s="40"/>
      <c r="S323" s="40"/>
      <c r="T323" s="40"/>
      <c r="U323" s="40"/>
    </row>
    <row r="324" spans="4:21" s="37" customFormat="1" ht="15.75" customHeight="1" x14ac:dyDescent="0.35">
      <c r="D324" s="40"/>
      <c r="E324" s="34"/>
      <c r="F324" s="34"/>
      <c r="G324" s="34"/>
      <c r="H324" s="34"/>
      <c r="I324" s="34"/>
      <c r="J324" s="39"/>
      <c r="K324" s="34"/>
      <c r="L324" s="34"/>
      <c r="M324" s="34"/>
      <c r="N324" s="34"/>
      <c r="O324" s="34"/>
      <c r="P324" s="39"/>
      <c r="R324" s="40"/>
      <c r="S324" s="40"/>
      <c r="T324" s="40"/>
      <c r="U324" s="40"/>
    </row>
    <row r="325" spans="4:21" s="37" customFormat="1" ht="15.75" customHeight="1" x14ac:dyDescent="0.35">
      <c r="D325" s="40"/>
      <c r="E325" s="34"/>
      <c r="F325" s="34"/>
      <c r="G325" s="34"/>
      <c r="H325" s="34"/>
      <c r="I325" s="34"/>
      <c r="J325" s="39"/>
      <c r="K325" s="34"/>
      <c r="L325" s="34"/>
      <c r="M325" s="34"/>
      <c r="N325" s="34"/>
      <c r="O325" s="34"/>
      <c r="P325" s="39"/>
      <c r="R325" s="40"/>
      <c r="S325" s="40"/>
      <c r="T325" s="40"/>
      <c r="U325" s="40"/>
    </row>
    <row r="326" spans="4:21" s="37" customFormat="1" ht="15.75" customHeight="1" x14ac:dyDescent="0.35">
      <c r="D326" s="40"/>
      <c r="E326" s="34"/>
      <c r="F326" s="34"/>
      <c r="G326" s="34"/>
      <c r="H326" s="34"/>
      <c r="I326" s="34"/>
      <c r="J326" s="39"/>
      <c r="K326" s="34"/>
      <c r="L326" s="34"/>
      <c r="M326" s="34"/>
      <c r="N326" s="34"/>
      <c r="O326" s="34"/>
      <c r="P326" s="39"/>
      <c r="R326" s="40"/>
      <c r="S326" s="40"/>
      <c r="T326" s="40"/>
      <c r="U326" s="40"/>
    </row>
    <row r="327" spans="4:21" s="37" customFormat="1" ht="15.75" customHeight="1" x14ac:dyDescent="0.35">
      <c r="D327" s="40"/>
      <c r="E327" s="34"/>
      <c r="F327" s="34"/>
      <c r="G327" s="34"/>
      <c r="H327" s="34"/>
      <c r="I327" s="34"/>
      <c r="J327" s="39"/>
      <c r="K327" s="34"/>
      <c r="L327" s="34"/>
      <c r="M327" s="34"/>
      <c r="N327" s="34"/>
      <c r="O327" s="34"/>
      <c r="P327" s="39"/>
      <c r="R327" s="40"/>
      <c r="S327" s="40"/>
      <c r="T327" s="40"/>
      <c r="U327" s="40"/>
    </row>
    <row r="328" spans="4:21" s="37" customFormat="1" ht="15.75" customHeight="1" x14ac:dyDescent="0.35">
      <c r="D328" s="40"/>
      <c r="E328" s="34"/>
      <c r="F328" s="34"/>
      <c r="G328" s="34"/>
      <c r="H328" s="34"/>
      <c r="I328" s="34"/>
      <c r="J328" s="39"/>
      <c r="K328" s="34"/>
      <c r="L328" s="34"/>
      <c r="M328" s="34"/>
      <c r="N328" s="34"/>
      <c r="O328" s="34"/>
      <c r="P328" s="39"/>
      <c r="R328" s="40"/>
      <c r="S328" s="40"/>
      <c r="T328" s="40"/>
      <c r="U328" s="40"/>
    </row>
    <row r="329" spans="4:21" s="37" customFormat="1" ht="15.75" customHeight="1" x14ac:dyDescent="0.35">
      <c r="D329" s="40"/>
      <c r="E329" s="34"/>
      <c r="F329" s="34"/>
      <c r="G329" s="34"/>
      <c r="H329" s="34"/>
      <c r="I329" s="34"/>
      <c r="J329" s="39"/>
      <c r="K329" s="34"/>
      <c r="L329" s="34"/>
      <c r="M329" s="34"/>
      <c r="N329" s="34"/>
      <c r="O329" s="34"/>
      <c r="P329" s="39"/>
      <c r="R329" s="40"/>
      <c r="S329" s="40"/>
      <c r="T329" s="40"/>
      <c r="U329" s="40"/>
    </row>
    <row r="330" spans="4:21" s="37" customFormat="1" ht="15.75" customHeight="1" x14ac:dyDescent="0.35">
      <c r="D330" s="40"/>
      <c r="E330" s="34"/>
      <c r="F330" s="34"/>
      <c r="G330" s="34"/>
      <c r="H330" s="34"/>
      <c r="I330" s="34"/>
      <c r="J330" s="39"/>
      <c r="K330" s="34"/>
      <c r="L330" s="34"/>
      <c r="M330" s="34"/>
      <c r="N330" s="34"/>
      <c r="O330" s="34"/>
      <c r="P330" s="39"/>
      <c r="R330" s="40"/>
      <c r="S330" s="40"/>
      <c r="T330" s="40"/>
      <c r="U330" s="40"/>
    </row>
    <row r="331" spans="4:21" s="37" customFormat="1" ht="15.75" customHeight="1" x14ac:dyDescent="0.35">
      <c r="D331" s="40"/>
      <c r="E331" s="34"/>
      <c r="F331" s="34"/>
      <c r="G331" s="34"/>
      <c r="H331" s="34"/>
      <c r="I331" s="34"/>
      <c r="J331" s="39"/>
      <c r="K331" s="34"/>
      <c r="L331" s="34"/>
      <c r="M331" s="34"/>
      <c r="N331" s="34"/>
      <c r="O331" s="34"/>
      <c r="P331" s="39"/>
      <c r="R331" s="40"/>
      <c r="S331" s="40"/>
      <c r="T331" s="40"/>
      <c r="U331" s="40"/>
    </row>
    <row r="332" spans="4:21" s="37" customFormat="1" ht="15.75" customHeight="1" x14ac:dyDescent="0.35">
      <c r="D332" s="40"/>
      <c r="E332" s="34"/>
      <c r="F332" s="34"/>
      <c r="G332" s="34"/>
      <c r="H332" s="34"/>
      <c r="I332" s="34"/>
      <c r="J332" s="39"/>
      <c r="K332" s="34"/>
      <c r="L332" s="34"/>
      <c r="M332" s="34"/>
      <c r="N332" s="34"/>
      <c r="O332" s="34"/>
      <c r="P332" s="39"/>
      <c r="R332" s="40"/>
      <c r="S332" s="40"/>
      <c r="T332" s="40"/>
      <c r="U332" s="40"/>
    </row>
    <row r="333" spans="4:21" s="37" customFormat="1" ht="15.75" customHeight="1" x14ac:dyDescent="0.35">
      <c r="D333" s="40"/>
      <c r="E333" s="34"/>
      <c r="F333" s="34"/>
      <c r="G333" s="34"/>
      <c r="H333" s="34"/>
      <c r="I333" s="34"/>
      <c r="J333" s="39"/>
      <c r="K333" s="34"/>
      <c r="L333" s="34"/>
      <c r="M333" s="34"/>
      <c r="N333" s="34"/>
      <c r="O333" s="34"/>
      <c r="P333" s="39"/>
      <c r="R333" s="40"/>
      <c r="S333" s="40"/>
      <c r="T333" s="40"/>
      <c r="U333" s="40"/>
    </row>
    <row r="334" spans="4:21" s="37" customFormat="1" ht="15.75" customHeight="1" x14ac:dyDescent="0.35">
      <c r="D334" s="40"/>
      <c r="E334" s="34"/>
      <c r="F334" s="34"/>
      <c r="G334" s="34"/>
      <c r="H334" s="34"/>
      <c r="I334" s="34"/>
      <c r="J334" s="39"/>
      <c r="K334" s="34"/>
      <c r="L334" s="34"/>
      <c r="M334" s="34"/>
      <c r="N334" s="34"/>
      <c r="O334" s="34"/>
      <c r="P334" s="39"/>
      <c r="R334" s="40"/>
      <c r="S334" s="40"/>
      <c r="T334" s="40"/>
      <c r="U334" s="40"/>
    </row>
    <row r="335" spans="4:21" s="37" customFormat="1" ht="15.75" customHeight="1" x14ac:dyDescent="0.35">
      <c r="D335" s="40"/>
      <c r="E335" s="34"/>
      <c r="F335" s="34"/>
      <c r="G335" s="34"/>
      <c r="H335" s="34"/>
      <c r="I335" s="34"/>
      <c r="J335" s="39"/>
      <c r="K335" s="34"/>
      <c r="L335" s="34"/>
      <c r="M335" s="34"/>
      <c r="N335" s="34"/>
      <c r="O335" s="34"/>
      <c r="P335" s="39"/>
      <c r="R335" s="40"/>
      <c r="S335" s="40"/>
      <c r="T335" s="40"/>
      <c r="U335" s="40"/>
    </row>
    <row r="336" spans="4:21" s="37" customFormat="1" ht="15.75" customHeight="1" x14ac:dyDescent="0.35">
      <c r="D336" s="40"/>
      <c r="E336" s="34"/>
      <c r="F336" s="34"/>
      <c r="G336" s="34"/>
      <c r="H336" s="34"/>
      <c r="I336" s="34"/>
      <c r="J336" s="39"/>
      <c r="K336" s="34"/>
      <c r="L336" s="34"/>
      <c r="M336" s="34"/>
      <c r="N336" s="34"/>
      <c r="O336" s="34"/>
      <c r="P336" s="39"/>
      <c r="R336" s="40"/>
      <c r="S336" s="40"/>
      <c r="T336" s="40"/>
      <c r="U336" s="40"/>
    </row>
    <row r="337" spans="4:21" s="37" customFormat="1" ht="15.75" customHeight="1" x14ac:dyDescent="0.35">
      <c r="D337" s="40"/>
      <c r="E337" s="34"/>
      <c r="F337" s="34"/>
      <c r="G337" s="34"/>
      <c r="H337" s="34"/>
      <c r="I337" s="34"/>
      <c r="J337" s="39"/>
      <c r="K337" s="34"/>
      <c r="L337" s="34"/>
      <c r="M337" s="34"/>
      <c r="N337" s="34"/>
      <c r="O337" s="34"/>
      <c r="P337" s="39"/>
      <c r="R337" s="40"/>
      <c r="S337" s="40"/>
      <c r="T337" s="40"/>
      <c r="U337" s="40"/>
    </row>
    <row r="338" spans="4:21" s="37" customFormat="1" ht="15.75" customHeight="1" x14ac:dyDescent="0.35">
      <c r="D338" s="40"/>
      <c r="E338" s="34"/>
      <c r="F338" s="34"/>
      <c r="G338" s="34"/>
      <c r="H338" s="34"/>
      <c r="I338" s="34"/>
      <c r="J338" s="39"/>
      <c r="K338" s="34"/>
      <c r="L338" s="34"/>
      <c r="M338" s="34"/>
      <c r="N338" s="34"/>
      <c r="O338" s="34"/>
      <c r="P338" s="39"/>
      <c r="R338" s="40"/>
      <c r="S338" s="40"/>
      <c r="T338" s="40"/>
      <c r="U338" s="40"/>
    </row>
    <row r="339" spans="4:21" s="37" customFormat="1" ht="15.75" customHeight="1" x14ac:dyDescent="0.35">
      <c r="D339" s="40"/>
      <c r="E339" s="34"/>
      <c r="F339" s="34"/>
      <c r="G339" s="34"/>
      <c r="H339" s="34"/>
      <c r="I339" s="34"/>
      <c r="J339" s="39"/>
      <c r="K339" s="34"/>
      <c r="L339" s="34"/>
      <c r="M339" s="34"/>
      <c r="N339" s="34"/>
      <c r="O339" s="34"/>
      <c r="P339" s="39"/>
      <c r="R339" s="40"/>
      <c r="S339" s="40"/>
      <c r="T339" s="40"/>
      <c r="U339" s="40"/>
    </row>
    <row r="340" spans="4:21" s="37" customFormat="1" ht="15.75" customHeight="1" x14ac:dyDescent="0.35">
      <c r="D340" s="40"/>
      <c r="E340" s="34"/>
      <c r="F340" s="34"/>
      <c r="G340" s="34"/>
      <c r="H340" s="34"/>
      <c r="I340" s="34"/>
      <c r="J340" s="39"/>
      <c r="K340" s="34"/>
      <c r="L340" s="34"/>
      <c r="M340" s="34"/>
      <c r="N340" s="34"/>
      <c r="O340" s="34"/>
      <c r="P340" s="39"/>
      <c r="R340" s="40"/>
      <c r="S340" s="40"/>
      <c r="T340" s="40"/>
      <c r="U340" s="40"/>
    </row>
    <row r="341" spans="4:21" s="37" customFormat="1" ht="15.75" customHeight="1" x14ac:dyDescent="0.35">
      <c r="D341" s="40"/>
      <c r="E341" s="34"/>
      <c r="F341" s="34"/>
      <c r="G341" s="34"/>
      <c r="H341" s="34"/>
      <c r="I341" s="34"/>
      <c r="J341" s="39"/>
      <c r="K341" s="34"/>
      <c r="L341" s="34"/>
      <c r="M341" s="34"/>
      <c r="N341" s="34"/>
      <c r="O341" s="34"/>
      <c r="P341" s="39"/>
      <c r="R341" s="40"/>
      <c r="S341" s="40"/>
      <c r="T341" s="40"/>
      <c r="U341" s="40"/>
    </row>
    <row r="342" spans="4:21" s="37" customFormat="1" ht="15.75" customHeight="1" x14ac:dyDescent="0.35">
      <c r="D342" s="40"/>
      <c r="E342" s="34"/>
      <c r="F342" s="34"/>
      <c r="G342" s="34"/>
      <c r="H342" s="34"/>
      <c r="I342" s="34"/>
      <c r="J342" s="39"/>
      <c r="K342" s="34"/>
      <c r="L342" s="34"/>
      <c r="M342" s="34"/>
      <c r="N342" s="34"/>
      <c r="O342" s="34"/>
      <c r="P342" s="39"/>
      <c r="R342" s="40"/>
      <c r="S342" s="40"/>
      <c r="T342" s="40"/>
      <c r="U342" s="40"/>
    </row>
    <row r="343" spans="4:21" s="37" customFormat="1" ht="15.75" customHeight="1" x14ac:dyDescent="0.35">
      <c r="D343" s="40"/>
      <c r="E343" s="34"/>
      <c r="F343" s="34"/>
      <c r="G343" s="34"/>
      <c r="H343" s="34"/>
      <c r="I343" s="34"/>
      <c r="J343" s="39"/>
      <c r="K343" s="34"/>
      <c r="L343" s="34"/>
      <c r="M343" s="34"/>
      <c r="N343" s="34"/>
      <c r="O343" s="34"/>
      <c r="P343" s="39"/>
      <c r="R343" s="40"/>
      <c r="S343" s="40"/>
      <c r="T343" s="40"/>
      <c r="U343" s="40"/>
    </row>
    <row r="344" spans="4:21" s="37" customFormat="1" ht="15.75" customHeight="1" x14ac:dyDescent="0.35">
      <c r="D344" s="40"/>
      <c r="E344" s="34"/>
      <c r="F344" s="34"/>
      <c r="G344" s="34"/>
      <c r="H344" s="34"/>
      <c r="I344" s="34"/>
      <c r="J344" s="39"/>
      <c r="K344" s="34"/>
      <c r="L344" s="34"/>
      <c r="M344" s="34"/>
      <c r="N344" s="34"/>
      <c r="O344" s="34"/>
      <c r="P344" s="39"/>
      <c r="R344" s="40"/>
      <c r="S344" s="40"/>
      <c r="T344" s="40"/>
      <c r="U344" s="40"/>
    </row>
    <row r="345" spans="4:21" s="37" customFormat="1" ht="15.75" customHeight="1" x14ac:dyDescent="0.35">
      <c r="D345" s="40"/>
      <c r="E345" s="34"/>
      <c r="F345" s="34"/>
      <c r="G345" s="34"/>
      <c r="H345" s="34"/>
      <c r="I345" s="34"/>
      <c r="J345" s="39"/>
      <c r="K345" s="34"/>
      <c r="L345" s="34"/>
      <c r="M345" s="34"/>
      <c r="N345" s="34"/>
      <c r="O345" s="34"/>
      <c r="P345" s="39"/>
      <c r="R345" s="40"/>
      <c r="S345" s="40"/>
      <c r="T345" s="40"/>
      <c r="U345" s="40"/>
    </row>
    <row r="346" spans="4:21" s="37" customFormat="1" ht="15.75" customHeight="1" x14ac:dyDescent="0.35">
      <c r="D346" s="40"/>
      <c r="E346" s="34"/>
      <c r="F346" s="34"/>
      <c r="G346" s="34"/>
      <c r="H346" s="34"/>
      <c r="I346" s="34"/>
      <c r="J346" s="39"/>
      <c r="K346" s="34"/>
      <c r="L346" s="34"/>
      <c r="M346" s="34"/>
      <c r="N346" s="34"/>
      <c r="O346" s="34"/>
      <c r="P346" s="39"/>
      <c r="R346" s="40"/>
      <c r="S346" s="40"/>
      <c r="T346" s="40"/>
      <c r="U346" s="40"/>
    </row>
    <row r="347" spans="4:21" s="37" customFormat="1" ht="15.75" customHeight="1" x14ac:dyDescent="0.35">
      <c r="D347" s="40"/>
      <c r="E347" s="34"/>
      <c r="F347" s="34"/>
      <c r="G347" s="34"/>
      <c r="H347" s="34"/>
      <c r="I347" s="34"/>
      <c r="J347" s="39"/>
      <c r="K347" s="34"/>
      <c r="L347" s="34"/>
      <c r="M347" s="34"/>
      <c r="N347" s="34"/>
      <c r="O347" s="34"/>
      <c r="P347" s="39"/>
      <c r="R347" s="40"/>
      <c r="S347" s="40"/>
      <c r="T347" s="40"/>
      <c r="U347" s="40"/>
    </row>
    <row r="348" spans="4:21" s="37" customFormat="1" ht="15.75" customHeight="1" x14ac:dyDescent="0.35">
      <c r="D348" s="40"/>
      <c r="E348" s="34"/>
      <c r="F348" s="34"/>
      <c r="G348" s="34"/>
      <c r="H348" s="34"/>
      <c r="I348" s="34"/>
      <c r="J348" s="39"/>
      <c r="K348" s="34"/>
      <c r="L348" s="34"/>
      <c r="M348" s="34"/>
      <c r="N348" s="34"/>
      <c r="O348" s="34"/>
      <c r="P348" s="39"/>
      <c r="R348" s="40"/>
      <c r="S348" s="40"/>
      <c r="T348" s="40"/>
      <c r="U348" s="40"/>
    </row>
    <row r="349" spans="4:21" s="37" customFormat="1" ht="15.75" customHeight="1" x14ac:dyDescent="0.35">
      <c r="D349" s="40"/>
      <c r="E349" s="34"/>
      <c r="F349" s="34"/>
      <c r="G349" s="34"/>
      <c r="H349" s="34"/>
      <c r="I349" s="34"/>
      <c r="J349" s="39"/>
      <c r="K349" s="34"/>
      <c r="L349" s="34"/>
      <c r="M349" s="34"/>
      <c r="N349" s="34"/>
      <c r="O349" s="34"/>
      <c r="P349" s="39"/>
      <c r="R349" s="40"/>
      <c r="S349" s="40"/>
      <c r="T349" s="40"/>
      <c r="U349" s="40"/>
    </row>
    <row r="350" spans="4:21" s="37" customFormat="1" ht="15.75" customHeight="1" x14ac:dyDescent="0.35">
      <c r="D350" s="40"/>
      <c r="E350" s="34"/>
      <c r="F350" s="34"/>
      <c r="G350" s="34"/>
      <c r="H350" s="34"/>
      <c r="I350" s="34"/>
      <c r="J350" s="39"/>
      <c r="K350" s="34"/>
      <c r="L350" s="34"/>
      <c r="M350" s="34"/>
      <c r="N350" s="34"/>
      <c r="O350" s="34"/>
      <c r="P350" s="39"/>
      <c r="R350" s="40"/>
      <c r="S350" s="40"/>
      <c r="T350" s="40"/>
      <c r="U350" s="40"/>
    </row>
    <row r="351" spans="4:21" s="37" customFormat="1" ht="15.75" customHeight="1" x14ac:dyDescent="0.35">
      <c r="D351" s="40"/>
      <c r="E351" s="34"/>
      <c r="F351" s="34"/>
      <c r="G351" s="34"/>
      <c r="H351" s="34"/>
      <c r="I351" s="34"/>
      <c r="J351" s="39"/>
      <c r="K351" s="34"/>
      <c r="L351" s="34"/>
      <c r="M351" s="34"/>
      <c r="N351" s="34"/>
      <c r="O351" s="34"/>
      <c r="P351" s="39"/>
      <c r="R351" s="40"/>
      <c r="S351" s="40"/>
      <c r="T351" s="40"/>
      <c r="U351" s="40"/>
    </row>
    <row r="352" spans="4:21" s="37" customFormat="1" ht="15.75" customHeight="1" x14ac:dyDescent="0.35">
      <c r="D352" s="40"/>
      <c r="E352" s="34"/>
      <c r="F352" s="34"/>
      <c r="G352" s="34"/>
      <c r="H352" s="34"/>
      <c r="I352" s="34"/>
      <c r="J352" s="39"/>
      <c r="K352" s="34"/>
      <c r="L352" s="34"/>
      <c r="M352" s="34"/>
      <c r="N352" s="34"/>
      <c r="O352" s="34"/>
      <c r="P352" s="39"/>
      <c r="R352" s="40"/>
      <c r="S352" s="40"/>
      <c r="T352" s="40"/>
      <c r="U352" s="40"/>
    </row>
    <row r="353" spans="4:21" s="37" customFormat="1" ht="15.75" customHeight="1" x14ac:dyDescent="0.35">
      <c r="D353" s="40"/>
      <c r="E353" s="34"/>
      <c r="F353" s="34"/>
      <c r="G353" s="34"/>
      <c r="H353" s="34"/>
      <c r="I353" s="34"/>
      <c r="J353" s="39"/>
      <c r="K353" s="34"/>
      <c r="L353" s="34"/>
      <c r="M353" s="34"/>
      <c r="N353" s="34"/>
      <c r="O353" s="34"/>
      <c r="P353" s="39"/>
      <c r="R353" s="40"/>
      <c r="S353" s="40"/>
      <c r="T353" s="40"/>
      <c r="U353" s="40"/>
    </row>
    <row r="354" spans="4:21" s="37" customFormat="1" ht="15.75" customHeight="1" x14ac:dyDescent="0.35">
      <c r="D354" s="40"/>
      <c r="E354" s="34"/>
      <c r="F354" s="34"/>
      <c r="G354" s="34"/>
      <c r="H354" s="34"/>
      <c r="I354" s="34"/>
      <c r="J354" s="39"/>
      <c r="K354" s="34"/>
      <c r="L354" s="34"/>
      <c r="M354" s="34"/>
      <c r="N354" s="34"/>
      <c r="O354" s="34"/>
      <c r="P354" s="39"/>
      <c r="R354" s="40"/>
      <c r="S354" s="40"/>
      <c r="T354" s="40"/>
      <c r="U354" s="40"/>
    </row>
    <row r="355" spans="4:21" s="37" customFormat="1" ht="15.75" customHeight="1" x14ac:dyDescent="0.35">
      <c r="D355" s="40"/>
      <c r="E355" s="34"/>
      <c r="F355" s="34"/>
      <c r="G355" s="34"/>
      <c r="H355" s="34"/>
      <c r="I355" s="34"/>
      <c r="J355" s="39"/>
      <c r="K355" s="34"/>
      <c r="L355" s="34"/>
      <c r="M355" s="34"/>
      <c r="N355" s="34"/>
      <c r="O355" s="34"/>
      <c r="P355" s="39"/>
      <c r="R355" s="40"/>
      <c r="S355" s="40"/>
      <c r="T355" s="40"/>
      <c r="U355" s="40"/>
    </row>
    <row r="356" spans="4:21" s="37" customFormat="1" ht="15.75" customHeight="1" x14ac:dyDescent="0.35">
      <c r="D356" s="40"/>
      <c r="E356" s="34"/>
      <c r="F356" s="34"/>
      <c r="G356" s="34"/>
      <c r="H356" s="34"/>
      <c r="I356" s="34"/>
      <c r="J356" s="39"/>
      <c r="K356" s="34"/>
      <c r="L356" s="34"/>
      <c r="M356" s="34"/>
      <c r="N356" s="34"/>
      <c r="O356" s="34"/>
      <c r="P356" s="39"/>
      <c r="R356" s="40"/>
      <c r="S356" s="40"/>
      <c r="T356" s="40"/>
      <c r="U356" s="40"/>
    </row>
    <row r="357" spans="4:21" s="37" customFormat="1" ht="15.75" customHeight="1" x14ac:dyDescent="0.35">
      <c r="D357" s="40"/>
      <c r="E357" s="34"/>
      <c r="F357" s="34"/>
      <c r="G357" s="34"/>
      <c r="H357" s="34"/>
      <c r="I357" s="34"/>
      <c r="J357" s="39"/>
      <c r="K357" s="34"/>
      <c r="L357" s="34"/>
      <c r="M357" s="34"/>
      <c r="N357" s="34"/>
      <c r="O357" s="34"/>
      <c r="P357" s="39"/>
      <c r="R357" s="40"/>
      <c r="S357" s="40"/>
      <c r="T357" s="40"/>
      <c r="U357" s="40"/>
    </row>
    <row r="358" spans="4:21" s="37" customFormat="1" ht="15.75" customHeight="1" x14ac:dyDescent="0.35">
      <c r="D358" s="40"/>
      <c r="E358" s="34"/>
      <c r="F358" s="34"/>
      <c r="G358" s="34"/>
      <c r="H358" s="34"/>
      <c r="I358" s="34"/>
      <c r="J358" s="39"/>
      <c r="K358" s="34"/>
      <c r="L358" s="34"/>
      <c r="M358" s="34"/>
      <c r="N358" s="34"/>
      <c r="O358" s="34"/>
      <c r="P358" s="39"/>
      <c r="R358" s="40"/>
      <c r="S358" s="40"/>
      <c r="T358" s="40"/>
      <c r="U358" s="40"/>
    </row>
    <row r="359" spans="4:21" s="37" customFormat="1" ht="15.75" customHeight="1" x14ac:dyDescent="0.35">
      <c r="D359" s="40"/>
      <c r="E359" s="34"/>
      <c r="F359" s="34"/>
      <c r="G359" s="34"/>
      <c r="H359" s="34"/>
      <c r="I359" s="34"/>
      <c r="J359" s="39"/>
      <c r="K359" s="34"/>
      <c r="L359" s="34"/>
      <c r="M359" s="34"/>
      <c r="N359" s="34"/>
      <c r="O359" s="34"/>
      <c r="P359" s="39"/>
      <c r="R359" s="40"/>
      <c r="S359" s="40"/>
      <c r="T359" s="40"/>
      <c r="U359" s="40"/>
    </row>
    <row r="360" spans="4:21" s="37" customFormat="1" ht="15.75" customHeight="1" x14ac:dyDescent="0.35">
      <c r="D360" s="40"/>
      <c r="E360" s="34"/>
      <c r="F360" s="34"/>
      <c r="G360" s="34"/>
      <c r="H360" s="34"/>
      <c r="I360" s="34"/>
      <c r="J360" s="39"/>
      <c r="K360" s="34"/>
      <c r="L360" s="34"/>
      <c r="M360" s="34"/>
      <c r="N360" s="34"/>
      <c r="O360" s="34"/>
      <c r="P360" s="39"/>
      <c r="R360" s="40"/>
      <c r="S360" s="40"/>
      <c r="T360" s="40"/>
      <c r="U360" s="40"/>
    </row>
    <row r="361" spans="4:21" s="37" customFormat="1" ht="15.75" customHeight="1" x14ac:dyDescent="0.35">
      <c r="D361" s="40"/>
      <c r="E361" s="34"/>
      <c r="F361" s="34"/>
      <c r="G361" s="34"/>
      <c r="H361" s="34"/>
      <c r="I361" s="34"/>
      <c r="J361" s="39"/>
      <c r="K361" s="34"/>
      <c r="L361" s="34"/>
      <c r="M361" s="34"/>
      <c r="N361" s="34"/>
      <c r="O361" s="34"/>
      <c r="P361" s="39"/>
      <c r="R361" s="40"/>
      <c r="S361" s="40"/>
      <c r="T361" s="40"/>
      <c r="U361" s="40"/>
    </row>
    <row r="362" spans="4:21" s="37" customFormat="1" ht="15.75" customHeight="1" x14ac:dyDescent="0.35">
      <c r="D362" s="40"/>
      <c r="E362" s="34"/>
      <c r="F362" s="34"/>
      <c r="G362" s="34"/>
      <c r="H362" s="34"/>
      <c r="I362" s="34"/>
      <c r="J362" s="39"/>
      <c r="K362" s="34"/>
      <c r="L362" s="34"/>
      <c r="M362" s="34"/>
      <c r="N362" s="34"/>
      <c r="O362" s="34"/>
      <c r="P362" s="39"/>
      <c r="R362" s="40"/>
      <c r="S362" s="40"/>
      <c r="T362" s="40"/>
      <c r="U362" s="40"/>
    </row>
    <row r="363" spans="4:21" s="37" customFormat="1" ht="15.75" customHeight="1" x14ac:dyDescent="0.35">
      <c r="D363" s="40"/>
      <c r="E363" s="34"/>
      <c r="F363" s="34"/>
      <c r="G363" s="34"/>
      <c r="H363" s="34"/>
      <c r="I363" s="34"/>
      <c r="J363" s="39"/>
      <c r="K363" s="34"/>
      <c r="L363" s="34"/>
      <c r="M363" s="34"/>
      <c r="N363" s="34"/>
      <c r="O363" s="34"/>
      <c r="P363" s="39"/>
      <c r="R363" s="40"/>
      <c r="S363" s="40"/>
      <c r="T363" s="40"/>
      <c r="U363" s="40"/>
    </row>
    <row r="364" spans="4:21" s="37" customFormat="1" ht="15.75" customHeight="1" x14ac:dyDescent="0.35">
      <c r="D364" s="40"/>
      <c r="E364" s="34"/>
      <c r="F364" s="34"/>
      <c r="G364" s="34"/>
      <c r="H364" s="34"/>
      <c r="I364" s="34"/>
      <c r="J364" s="39"/>
      <c r="K364" s="34"/>
      <c r="L364" s="34"/>
      <c r="M364" s="34"/>
      <c r="N364" s="34"/>
      <c r="O364" s="34"/>
      <c r="P364" s="39"/>
      <c r="R364" s="40"/>
      <c r="S364" s="40"/>
      <c r="T364" s="40"/>
      <c r="U364" s="40"/>
    </row>
    <row r="365" spans="4:21" s="37" customFormat="1" ht="15.75" customHeight="1" x14ac:dyDescent="0.35">
      <c r="D365" s="40"/>
      <c r="E365" s="34"/>
      <c r="F365" s="34"/>
      <c r="G365" s="34"/>
      <c r="H365" s="34"/>
      <c r="I365" s="34"/>
      <c r="J365" s="39"/>
      <c r="K365" s="34"/>
      <c r="L365" s="34"/>
      <c r="M365" s="34"/>
      <c r="N365" s="34"/>
      <c r="O365" s="34"/>
      <c r="P365" s="39"/>
      <c r="R365" s="40"/>
      <c r="S365" s="40"/>
      <c r="T365" s="40"/>
      <c r="U365" s="40"/>
    </row>
    <row r="366" spans="4:21" s="37" customFormat="1" ht="15.75" customHeight="1" x14ac:dyDescent="0.35">
      <c r="D366" s="40"/>
      <c r="E366" s="34"/>
      <c r="F366" s="34"/>
      <c r="G366" s="34"/>
      <c r="H366" s="34"/>
      <c r="I366" s="34"/>
      <c r="J366" s="39"/>
      <c r="K366" s="34"/>
      <c r="L366" s="34"/>
      <c r="M366" s="34"/>
      <c r="N366" s="34"/>
      <c r="O366" s="34"/>
      <c r="P366" s="39"/>
      <c r="R366" s="40"/>
      <c r="S366" s="40"/>
      <c r="T366" s="40"/>
      <c r="U366" s="40"/>
    </row>
    <row r="367" spans="4:21" s="37" customFormat="1" ht="15.75" customHeight="1" x14ac:dyDescent="0.35">
      <c r="D367" s="40"/>
      <c r="E367" s="34"/>
      <c r="F367" s="34"/>
      <c r="G367" s="34"/>
      <c r="H367" s="34"/>
      <c r="I367" s="34"/>
      <c r="J367" s="39"/>
      <c r="K367" s="34"/>
      <c r="L367" s="34"/>
      <c r="M367" s="34"/>
      <c r="N367" s="34"/>
      <c r="O367" s="34"/>
      <c r="P367" s="39"/>
      <c r="R367" s="40"/>
      <c r="S367" s="40"/>
      <c r="T367" s="40"/>
      <c r="U367" s="40"/>
    </row>
    <row r="368" spans="4:21" s="37" customFormat="1" ht="15.75" customHeight="1" x14ac:dyDescent="0.35">
      <c r="D368" s="40"/>
      <c r="E368" s="34"/>
      <c r="F368" s="34"/>
      <c r="G368" s="34"/>
      <c r="H368" s="34"/>
      <c r="I368" s="34"/>
      <c r="J368" s="39"/>
      <c r="K368" s="34"/>
      <c r="L368" s="34"/>
      <c r="M368" s="34"/>
      <c r="N368" s="34"/>
      <c r="O368" s="34"/>
      <c r="P368" s="39"/>
      <c r="R368" s="40"/>
      <c r="S368" s="40"/>
      <c r="T368" s="40"/>
      <c r="U368" s="40"/>
    </row>
    <row r="369" spans="4:21" s="37" customFormat="1" ht="15.75" customHeight="1" x14ac:dyDescent="0.35">
      <c r="D369" s="40"/>
      <c r="E369" s="34"/>
      <c r="F369" s="34"/>
      <c r="G369" s="34"/>
      <c r="H369" s="34"/>
      <c r="I369" s="34"/>
      <c r="J369" s="39"/>
      <c r="K369" s="34"/>
      <c r="L369" s="34"/>
      <c r="M369" s="34"/>
      <c r="N369" s="34"/>
      <c r="O369" s="34"/>
      <c r="P369" s="39"/>
      <c r="R369" s="40"/>
      <c r="S369" s="40"/>
      <c r="T369" s="40"/>
      <c r="U369" s="40"/>
    </row>
    <row r="370" spans="4:21" s="37" customFormat="1" ht="15.75" customHeight="1" x14ac:dyDescent="0.35">
      <c r="D370" s="40"/>
      <c r="E370" s="34"/>
      <c r="F370" s="34"/>
      <c r="G370" s="34"/>
      <c r="H370" s="34"/>
      <c r="I370" s="34"/>
      <c r="J370" s="39"/>
      <c r="K370" s="34"/>
      <c r="L370" s="34"/>
      <c r="M370" s="34"/>
      <c r="N370" s="34"/>
      <c r="O370" s="34"/>
      <c r="P370" s="39"/>
      <c r="R370" s="40"/>
      <c r="S370" s="40"/>
      <c r="T370" s="40"/>
      <c r="U370" s="40"/>
    </row>
    <row r="371" spans="4:21" s="37" customFormat="1" ht="15.75" customHeight="1" x14ac:dyDescent="0.35">
      <c r="D371" s="40"/>
      <c r="E371" s="34"/>
      <c r="F371" s="34"/>
      <c r="G371" s="34"/>
      <c r="H371" s="34"/>
      <c r="I371" s="34"/>
      <c r="J371" s="39"/>
      <c r="K371" s="34"/>
      <c r="L371" s="34"/>
      <c r="M371" s="34"/>
      <c r="N371" s="34"/>
      <c r="O371" s="34"/>
      <c r="P371" s="39"/>
      <c r="R371" s="40"/>
      <c r="S371" s="40"/>
      <c r="T371" s="40"/>
      <c r="U371" s="40"/>
    </row>
    <row r="372" spans="4:21" s="37" customFormat="1" ht="15.75" customHeight="1" x14ac:dyDescent="0.35">
      <c r="D372" s="40"/>
      <c r="E372" s="34"/>
      <c r="F372" s="34"/>
      <c r="G372" s="34"/>
      <c r="H372" s="34"/>
      <c r="I372" s="34"/>
      <c r="J372" s="39"/>
      <c r="K372" s="34"/>
      <c r="L372" s="34"/>
      <c r="M372" s="34"/>
      <c r="N372" s="34"/>
      <c r="O372" s="34"/>
      <c r="P372" s="39"/>
      <c r="R372" s="40"/>
      <c r="S372" s="40"/>
      <c r="T372" s="40"/>
      <c r="U372" s="40"/>
    </row>
    <row r="373" spans="4:21" s="37" customFormat="1" ht="15.75" customHeight="1" x14ac:dyDescent="0.35">
      <c r="D373" s="40"/>
      <c r="E373" s="34"/>
      <c r="F373" s="34"/>
      <c r="G373" s="34"/>
      <c r="H373" s="34"/>
      <c r="I373" s="34"/>
      <c r="J373" s="39"/>
      <c r="K373" s="34"/>
      <c r="L373" s="34"/>
      <c r="M373" s="34"/>
      <c r="N373" s="34"/>
      <c r="O373" s="34"/>
      <c r="P373" s="39"/>
      <c r="R373" s="40"/>
      <c r="S373" s="40"/>
      <c r="T373" s="40"/>
      <c r="U373" s="40"/>
    </row>
    <row r="374" spans="4:21" s="37" customFormat="1" ht="15.75" customHeight="1" x14ac:dyDescent="0.35">
      <c r="D374" s="40"/>
      <c r="E374" s="34"/>
      <c r="F374" s="34"/>
      <c r="G374" s="34"/>
      <c r="H374" s="34"/>
      <c r="I374" s="34"/>
      <c r="J374" s="39"/>
      <c r="K374" s="34"/>
      <c r="L374" s="34"/>
      <c r="M374" s="34"/>
      <c r="N374" s="34"/>
      <c r="O374" s="34"/>
      <c r="P374" s="39"/>
      <c r="R374" s="40"/>
      <c r="S374" s="40"/>
      <c r="T374" s="40"/>
      <c r="U374" s="40"/>
    </row>
    <row r="375" spans="4:21" s="37" customFormat="1" ht="15.75" customHeight="1" x14ac:dyDescent="0.35">
      <c r="D375" s="40"/>
      <c r="E375" s="34"/>
      <c r="F375" s="34"/>
      <c r="G375" s="34"/>
      <c r="H375" s="34"/>
      <c r="I375" s="34"/>
      <c r="J375" s="39"/>
      <c r="K375" s="34"/>
      <c r="L375" s="34"/>
      <c r="M375" s="34"/>
      <c r="N375" s="34"/>
      <c r="O375" s="34"/>
      <c r="P375" s="39"/>
      <c r="R375" s="40"/>
      <c r="S375" s="40"/>
      <c r="T375" s="40"/>
      <c r="U375" s="40"/>
    </row>
    <row r="376" spans="4:21" s="37" customFormat="1" ht="15.75" customHeight="1" x14ac:dyDescent="0.35">
      <c r="D376" s="40"/>
      <c r="E376" s="34"/>
      <c r="F376" s="34"/>
      <c r="G376" s="34"/>
      <c r="H376" s="34"/>
      <c r="I376" s="34"/>
      <c r="J376" s="39"/>
      <c r="K376" s="34"/>
      <c r="L376" s="34"/>
      <c r="M376" s="34"/>
      <c r="N376" s="34"/>
      <c r="O376" s="34"/>
      <c r="P376" s="39"/>
      <c r="R376" s="40"/>
      <c r="S376" s="40"/>
      <c r="T376" s="40"/>
      <c r="U376" s="40"/>
    </row>
    <row r="377" spans="4:21" s="37" customFormat="1" ht="15.75" customHeight="1" x14ac:dyDescent="0.35">
      <c r="D377" s="40"/>
      <c r="E377" s="34"/>
      <c r="F377" s="34"/>
      <c r="G377" s="34"/>
      <c r="H377" s="34"/>
      <c r="I377" s="34"/>
      <c r="J377" s="39"/>
      <c r="K377" s="34"/>
      <c r="L377" s="34"/>
      <c r="M377" s="34"/>
      <c r="N377" s="34"/>
      <c r="O377" s="34"/>
      <c r="P377" s="39"/>
      <c r="R377" s="40"/>
      <c r="S377" s="40"/>
      <c r="T377" s="40"/>
      <c r="U377" s="40"/>
    </row>
    <row r="378" spans="4:21" s="37" customFormat="1" ht="15.75" customHeight="1" x14ac:dyDescent="0.35">
      <c r="D378" s="40"/>
      <c r="E378" s="34"/>
      <c r="F378" s="34"/>
      <c r="G378" s="34"/>
      <c r="H378" s="34"/>
      <c r="I378" s="34"/>
      <c r="J378" s="39"/>
      <c r="K378" s="34"/>
      <c r="L378" s="34"/>
      <c r="M378" s="34"/>
      <c r="N378" s="34"/>
      <c r="O378" s="34"/>
      <c r="P378" s="39"/>
      <c r="R378" s="40"/>
      <c r="S378" s="40"/>
      <c r="T378" s="40"/>
      <c r="U378" s="40"/>
    </row>
    <row r="379" spans="4:21" s="37" customFormat="1" ht="15.75" customHeight="1" x14ac:dyDescent="0.35">
      <c r="D379" s="40"/>
      <c r="E379" s="34"/>
      <c r="F379" s="34"/>
      <c r="G379" s="34"/>
      <c r="H379" s="34"/>
      <c r="I379" s="34"/>
      <c r="J379" s="39"/>
      <c r="K379" s="34"/>
      <c r="L379" s="34"/>
      <c r="M379" s="34"/>
      <c r="N379" s="34"/>
      <c r="O379" s="34"/>
      <c r="P379" s="39"/>
      <c r="R379" s="40"/>
      <c r="S379" s="40"/>
      <c r="T379" s="40"/>
      <c r="U379" s="40"/>
    </row>
    <row r="380" spans="4:21" s="37" customFormat="1" ht="15.75" customHeight="1" x14ac:dyDescent="0.35">
      <c r="D380" s="40"/>
      <c r="E380" s="34"/>
      <c r="F380" s="34"/>
      <c r="G380" s="34"/>
      <c r="H380" s="34"/>
      <c r="I380" s="34"/>
      <c r="J380" s="39"/>
      <c r="K380" s="34"/>
      <c r="L380" s="34"/>
      <c r="M380" s="34"/>
      <c r="N380" s="34"/>
      <c r="O380" s="34"/>
      <c r="P380" s="39"/>
      <c r="R380" s="40"/>
      <c r="S380" s="40"/>
      <c r="T380" s="40"/>
      <c r="U380" s="40"/>
    </row>
    <row r="381" spans="4:21" s="37" customFormat="1" ht="15.75" customHeight="1" x14ac:dyDescent="0.35">
      <c r="D381" s="40"/>
      <c r="E381" s="34"/>
      <c r="F381" s="34"/>
      <c r="G381" s="34"/>
      <c r="H381" s="34"/>
      <c r="I381" s="34"/>
      <c r="J381" s="39"/>
      <c r="K381" s="34"/>
      <c r="L381" s="34"/>
      <c r="M381" s="34"/>
      <c r="N381" s="34"/>
      <c r="O381" s="34"/>
      <c r="P381" s="39"/>
      <c r="R381" s="40"/>
      <c r="S381" s="40"/>
      <c r="T381" s="40"/>
      <c r="U381" s="40"/>
    </row>
    <row r="382" spans="4:21" s="37" customFormat="1" ht="15.75" customHeight="1" x14ac:dyDescent="0.35">
      <c r="D382" s="40"/>
      <c r="E382" s="34"/>
      <c r="F382" s="34"/>
      <c r="G382" s="34"/>
      <c r="H382" s="34"/>
      <c r="I382" s="34"/>
      <c r="J382" s="39"/>
      <c r="K382" s="34"/>
      <c r="L382" s="34"/>
      <c r="M382" s="34"/>
      <c r="N382" s="34"/>
      <c r="O382" s="34"/>
      <c r="P382" s="39"/>
      <c r="R382" s="40"/>
      <c r="S382" s="40"/>
      <c r="T382" s="40"/>
      <c r="U382" s="40"/>
    </row>
    <row r="383" spans="4:21" s="37" customFormat="1" ht="15.75" customHeight="1" x14ac:dyDescent="0.35">
      <c r="D383" s="40"/>
      <c r="E383" s="34"/>
      <c r="F383" s="34"/>
      <c r="G383" s="34"/>
      <c r="H383" s="34"/>
      <c r="I383" s="34"/>
      <c r="J383" s="39"/>
      <c r="K383" s="34"/>
      <c r="L383" s="34"/>
      <c r="M383" s="34"/>
      <c r="N383" s="34"/>
      <c r="O383" s="34"/>
      <c r="P383" s="39"/>
      <c r="R383" s="40"/>
      <c r="S383" s="40"/>
      <c r="T383" s="40"/>
      <c r="U383" s="40"/>
    </row>
    <row r="384" spans="4:21" s="37" customFormat="1" ht="15.75" customHeight="1" x14ac:dyDescent="0.35">
      <c r="D384" s="40"/>
      <c r="E384" s="34"/>
      <c r="F384" s="34"/>
      <c r="G384" s="34"/>
      <c r="H384" s="34"/>
      <c r="I384" s="34"/>
      <c r="J384" s="39"/>
      <c r="K384" s="34"/>
      <c r="L384" s="34"/>
      <c r="M384" s="34"/>
      <c r="N384" s="34"/>
      <c r="O384" s="34"/>
      <c r="P384" s="39"/>
      <c r="R384" s="40"/>
      <c r="S384" s="40"/>
      <c r="T384" s="40"/>
      <c r="U384" s="40"/>
    </row>
    <row r="385" spans="4:21" s="37" customFormat="1" ht="15.75" customHeight="1" x14ac:dyDescent="0.35">
      <c r="D385" s="40"/>
      <c r="E385" s="34"/>
      <c r="F385" s="34"/>
      <c r="G385" s="34"/>
      <c r="H385" s="34"/>
      <c r="I385" s="34"/>
      <c r="J385" s="39"/>
      <c r="K385" s="34"/>
      <c r="L385" s="34"/>
      <c r="M385" s="34"/>
      <c r="N385" s="34"/>
      <c r="O385" s="34"/>
      <c r="P385" s="39"/>
      <c r="R385" s="40"/>
      <c r="S385" s="40"/>
      <c r="T385" s="40"/>
      <c r="U385" s="40"/>
    </row>
    <row r="386" spans="4:21" s="37" customFormat="1" ht="15.75" customHeight="1" x14ac:dyDescent="0.35">
      <c r="D386" s="40"/>
      <c r="E386" s="34"/>
      <c r="F386" s="34"/>
      <c r="G386" s="34"/>
      <c r="H386" s="34"/>
      <c r="I386" s="34"/>
      <c r="J386" s="39"/>
      <c r="K386" s="34"/>
      <c r="L386" s="34"/>
      <c r="M386" s="34"/>
      <c r="N386" s="34"/>
      <c r="O386" s="34"/>
      <c r="P386" s="39"/>
      <c r="R386" s="40"/>
      <c r="S386" s="40"/>
      <c r="T386" s="40"/>
      <c r="U386" s="40"/>
    </row>
    <row r="387" spans="4:21" s="37" customFormat="1" ht="15.75" customHeight="1" x14ac:dyDescent="0.35">
      <c r="D387" s="40"/>
      <c r="E387" s="34"/>
      <c r="F387" s="34"/>
      <c r="G387" s="34"/>
      <c r="H387" s="34"/>
      <c r="I387" s="34"/>
      <c r="J387" s="39"/>
      <c r="K387" s="34"/>
      <c r="L387" s="34"/>
      <c r="M387" s="34"/>
      <c r="N387" s="34"/>
      <c r="O387" s="34"/>
      <c r="P387" s="39"/>
      <c r="R387" s="40"/>
      <c r="S387" s="40"/>
      <c r="T387" s="40"/>
      <c r="U387" s="40"/>
    </row>
    <row r="388" spans="4:21" s="37" customFormat="1" ht="15.75" customHeight="1" x14ac:dyDescent="0.35">
      <c r="D388" s="40"/>
      <c r="E388" s="34"/>
      <c r="F388" s="34"/>
      <c r="G388" s="34"/>
      <c r="H388" s="34"/>
      <c r="I388" s="34"/>
      <c r="J388" s="39"/>
      <c r="K388" s="34"/>
      <c r="L388" s="34"/>
      <c r="M388" s="34"/>
      <c r="N388" s="34"/>
      <c r="O388" s="34"/>
      <c r="P388" s="39"/>
      <c r="R388" s="40"/>
      <c r="S388" s="40"/>
      <c r="T388" s="40"/>
      <c r="U388" s="40"/>
    </row>
    <row r="389" spans="4:21" s="37" customFormat="1" ht="15.75" customHeight="1" x14ac:dyDescent="0.35">
      <c r="D389" s="40"/>
      <c r="E389" s="34"/>
      <c r="F389" s="34"/>
      <c r="G389" s="34"/>
      <c r="H389" s="34"/>
      <c r="I389" s="34"/>
      <c r="J389" s="39"/>
      <c r="K389" s="34"/>
      <c r="L389" s="34"/>
      <c r="M389" s="34"/>
      <c r="N389" s="34"/>
      <c r="O389" s="34"/>
      <c r="P389" s="39"/>
      <c r="R389" s="40"/>
      <c r="S389" s="40"/>
      <c r="T389" s="40"/>
      <c r="U389" s="40"/>
    </row>
    <row r="390" spans="4:21" s="37" customFormat="1" ht="15.75" customHeight="1" x14ac:dyDescent="0.35">
      <c r="D390" s="40"/>
      <c r="E390" s="34"/>
      <c r="F390" s="34"/>
      <c r="G390" s="34"/>
      <c r="H390" s="34"/>
      <c r="I390" s="34"/>
      <c r="J390" s="39"/>
      <c r="K390" s="34"/>
      <c r="L390" s="34"/>
      <c r="M390" s="34"/>
      <c r="N390" s="34"/>
      <c r="O390" s="34"/>
      <c r="P390" s="39"/>
      <c r="R390" s="40"/>
      <c r="S390" s="40"/>
      <c r="T390" s="40"/>
      <c r="U390" s="40"/>
    </row>
    <row r="391" spans="4:21" s="37" customFormat="1" ht="15.75" customHeight="1" x14ac:dyDescent="0.35">
      <c r="D391" s="40"/>
      <c r="E391" s="34"/>
      <c r="F391" s="34"/>
      <c r="G391" s="34"/>
      <c r="H391" s="34"/>
      <c r="I391" s="34"/>
      <c r="J391" s="39"/>
      <c r="K391" s="34"/>
      <c r="L391" s="34"/>
      <c r="M391" s="34"/>
      <c r="N391" s="34"/>
      <c r="O391" s="34"/>
      <c r="P391" s="39"/>
      <c r="R391" s="40"/>
      <c r="S391" s="40"/>
      <c r="T391" s="40"/>
      <c r="U391" s="40"/>
    </row>
    <row r="392" spans="4:21" s="37" customFormat="1" ht="15.75" customHeight="1" x14ac:dyDescent="0.35">
      <c r="D392" s="40"/>
      <c r="E392" s="34"/>
      <c r="F392" s="34"/>
      <c r="G392" s="34"/>
      <c r="H392" s="34"/>
      <c r="I392" s="34"/>
      <c r="J392" s="39"/>
      <c r="K392" s="34"/>
      <c r="L392" s="34"/>
      <c r="M392" s="34"/>
      <c r="N392" s="34"/>
      <c r="O392" s="34"/>
      <c r="P392" s="39"/>
      <c r="R392" s="40"/>
      <c r="S392" s="40"/>
      <c r="T392" s="40"/>
      <c r="U392" s="40"/>
    </row>
    <row r="393" spans="4:21" s="37" customFormat="1" ht="15.75" customHeight="1" x14ac:dyDescent="0.35">
      <c r="D393" s="40"/>
      <c r="E393" s="34"/>
      <c r="F393" s="34"/>
      <c r="G393" s="34"/>
      <c r="H393" s="34"/>
      <c r="I393" s="34"/>
      <c r="J393" s="39"/>
      <c r="K393" s="34"/>
      <c r="L393" s="34"/>
      <c r="M393" s="34"/>
      <c r="N393" s="34"/>
      <c r="O393" s="34"/>
      <c r="P393" s="39"/>
      <c r="R393" s="40"/>
      <c r="S393" s="40"/>
      <c r="T393" s="40"/>
      <c r="U393" s="40"/>
    </row>
    <row r="394" spans="4:21" s="37" customFormat="1" ht="15.75" customHeight="1" x14ac:dyDescent="0.35">
      <c r="D394" s="40"/>
      <c r="E394" s="34"/>
      <c r="F394" s="34"/>
      <c r="G394" s="34"/>
      <c r="H394" s="34"/>
      <c r="I394" s="34"/>
      <c r="J394" s="39"/>
      <c r="K394" s="34"/>
      <c r="L394" s="34"/>
      <c r="M394" s="34"/>
      <c r="N394" s="34"/>
      <c r="O394" s="34"/>
      <c r="P394" s="39"/>
      <c r="R394" s="40"/>
      <c r="S394" s="40"/>
      <c r="T394" s="40"/>
      <c r="U394" s="40"/>
    </row>
    <row r="395" spans="4:21" s="37" customFormat="1" ht="15.75" customHeight="1" x14ac:dyDescent="0.35">
      <c r="D395" s="40"/>
      <c r="E395" s="34"/>
      <c r="F395" s="34"/>
      <c r="G395" s="34"/>
      <c r="H395" s="34"/>
      <c r="I395" s="34"/>
      <c r="J395" s="39"/>
      <c r="K395" s="34"/>
      <c r="L395" s="34"/>
      <c r="M395" s="34"/>
      <c r="N395" s="34"/>
      <c r="O395" s="34"/>
      <c r="P395" s="39"/>
      <c r="R395" s="40"/>
      <c r="S395" s="40"/>
      <c r="T395" s="40"/>
      <c r="U395" s="40"/>
    </row>
    <row r="396" spans="4:21" s="37" customFormat="1" ht="15.75" customHeight="1" x14ac:dyDescent="0.35">
      <c r="D396" s="40"/>
      <c r="E396" s="34"/>
      <c r="F396" s="34"/>
      <c r="G396" s="34"/>
      <c r="H396" s="34"/>
      <c r="I396" s="34"/>
      <c r="J396" s="39"/>
      <c r="K396" s="34"/>
      <c r="L396" s="34"/>
      <c r="M396" s="34"/>
      <c r="N396" s="34"/>
      <c r="O396" s="34"/>
      <c r="P396" s="39"/>
      <c r="R396" s="40"/>
      <c r="S396" s="40"/>
      <c r="T396" s="40"/>
      <c r="U396" s="40"/>
    </row>
    <row r="397" spans="4:21" s="37" customFormat="1" ht="15.75" customHeight="1" x14ac:dyDescent="0.35">
      <c r="D397" s="40"/>
      <c r="E397" s="34"/>
      <c r="F397" s="34"/>
      <c r="G397" s="34"/>
      <c r="H397" s="34"/>
      <c r="I397" s="34"/>
      <c r="J397" s="39"/>
      <c r="K397" s="34"/>
      <c r="L397" s="34"/>
      <c r="M397" s="34"/>
      <c r="N397" s="34"/>
      <c r="O397" s="34"/>
      <c r="P397" s="39"/>
      <c r="R397" s="40"/>
      <c r="S397" s="40"/>
      <c r="T397" s="40"/>
      <c r="U397" s="40"/>
    </row>
    <row r="398" spans="4:21" s="37" customFormat="1" ht="15.75" customHeight="1" x14ac:dyDescent="0.35">
      <c r="D398" s="40"/>
      <c r="E398" s="34"/>
      <c r="F398" s="34"/>
      <c r="G398" s="34"/>
      <c r="H398" s="34"/>
      <c r="I398" s="34"/>
      <c r="J398" s="39"/>
      <c r="K398" s="34"/>
      <c r="L398" s="34"/>
      <c r="M398" s="34"/>
      <c r="N398" s="34"/>
      <c r="O398" s="34"/>
      <c r="P398" s="39"/>
      <c r="R398" s="40"/>
      <c r="S398" s="40"/>
      <c r="T398" s="40"/>
      <c r="U398" s="40"/>
    </row>
    <row r="399" spans="4:21" s="37" customFormat="1" ht="15.75" customHeight="1" x14ac:dyDescent="0.35">
      <c r="D399" s="40"/>
      <c r="E399" s="34"/>
      <c r="F399" s="34"/>
      <c r="G399" s="34"/>
      <c r="H399" s="34"/>
      <c r="I399" s="34"/>
      <c r="J399" s="39"/>
      <c r="K399" s="34"/>
      <c r="L399" s="34"/>
      <c r="M399" s="34"/>
      <c r="N399" s="34"/>
      <c r="O399" s="34"/>
      <c r="P399" s="39"/>
      <c r="R399" s="40"/>
      <c r="S399" s="40"/>
      <c r="T399" s="40"/>
      <c r="U399" s="40"/>
    </row>
    <row r="400" spans="4:21" s="37" customFormat="1" ht="15.75" customHeight="1" x14ac:dyDescent="0.35">
      <c r="D400" s="40"/>
      <c r="E400" s="34"/>
      <c r="F400" s="34"/>
      <c r="G400" s="34"/>
      <c r="H400" s="34"/>
      <c r="I400" s="34"/>
      <c r="J400" s="39"/>
      <c r="K400" s="34"/>
      <c r="L400" s="34"/>
      <c r="M400" s="34"/>
      <c r="N400" s="34"/>
      <c r="O400" s="34"/>
      <c r="P400" s="39"/>
      <c r="R400" s="40"/>
      <c r="S400" s="40"/>
      <c r="T400" s="40"/>
      <c r="U400" s="40"/>
    </row>
    <row r="401" spans="4:21" s="37" customFormat="1" ht="15.75" customHeight="1" x14ac:dyDescent="0.35">
      <c r="D401" s="40"/>
      <c r="E401" s="34"/>
      <c r="F401" s="34"/>
      <c r="G401" s="34"/>
      <c r="H401" s="34"/>
      <c r="I401" s="34"/>
      <c r="J401" s="39"/>
      <c r="K401" s="34"/>
      <c r="L401" s="34"/>
      <c r="M401" s="34"/>
      <c r="N401" s="34"/>
      <c r="O401" s="34"/>
      <c r="P401" s="39"/>
      <c r="R401" s="40"/>
      <c r="S401" s="40"/>
      <c r="T401" s="40"/>
      <c r="U401" s="40"/>
    </row>
    <row r="402" spans="4:21" s="37" customFormat="1" ht="15.75" customHeight="1" x14ac:dyDescent="0.35">
      <c r="D402" s="40"/>
      <c r="E402" s="34"/>
      <c r="F402" s="34"/>
      <c r="G402" s="34"/>
      <c r="H402" s="34"/>
      <c r="I402" s="34"/>
      <c r="J402" s="39"/>
      <c r="K402" s="34"/>
      <c r="L402" s="34"/>
      <c r="M402" s="34"/>
      <c r="N402" s="34"/>
      <c r="O402" s="34"/>
      <c r="P402" s="39"/>
      <c r="R402" s="40"/>
      <c r="S402" s="40"/>
      <c r="T402" s="40"/>
      <c r="U402" s="40"/>
    </row>
    <row r="403" spans="4:21" s="37" customFormat="1" ht="15.75" customHeight="1" x14ac:dyDescent="0.35">
      <c r="D403" s="40"/>
      <c r="E403" s="34"/>
      <c r="F403" s="34"/>
      <c r="G403" s="34"/>
      <c r="H403" s="34"/>
      <c r="I403" s="34"/>
      <c r="J403" s="39"/>
      <c r="K403" s="34"/>
      <c r="L403" s="34"/>
      <c r="M403" s="34"/>
      <c r="N403" s="34"/>
      <c r="O403" s="34"/>
      <c r="P403" s="39"/>
      <c r="R403" s="40"/>
      <c r="S403" s="40"/>
      <c r="T403" s="40"/>
      <c r="U403" s="40"/>
    </row>
    <row r="404" spans="4:21" s="37" customFormat="1" ht="15.75" customHeight="1" x14ac:dyDescent="0.35">
      <c r="D404" s="40"/>
      <c r="E404" s="34"/>
      <c r="F404" s="34"/>
      <c r="G404" s="34"/>
      <c r="H404" s="34"/>
      <c r="I404" s="34"/>
      <c r="J404" s="39"/>
      <c r="K404" s="34"/>
      <c r="L404" s="34"/>
      <c r="M404" s="34"/>
      <c r="N404" s="34"/>
      <c r="O404" s="34"/>
      <c r="P404" s="39"/>
      <c r="R404" s="40"/>
      <c r="S404" s="40"/>
      <c r="T404" s="40"/>
      <c r="U404" s="40"/>
    </row>
    <row r="405" spans="4:21" s="37" customFormat="1" ht="15.75" customHeight="1" x14ac:dyDescent="0.35">
      <c r="D405" s="40"/>
      <c r="E405" s="34"/>
      <c r="F405" s="34"/>
      <c r="G405" s="34"/>
      <c r="H405" s="34"/>
      <c r="I405" s="34"/>
      <c r="J405" s="39"/>
      <c r="K405" s="34"/>
      <c r="L405" s="34"/>
      <c r="M405" s="34"/>
      <c r="N405" s="34"/>
      <c r="O405" s="34"/>
      <c r="P405" s="39"/>
      <c r="R405" s="40"/>
      <c r="S405" s="40"/>
      <c r="T405" s="40"/>
      <c r="U405" s="40"/>
    </row>
    <row r="406" spans="4:21" s="37" customFormat="1" ht="15.75" customHeight="1" x14ac:dyDescent="0.35">
      <c r="D406" s="40"/>
      <c r="E406" s="34"/>
      <c r="F406" s="34"/>
      <c r="G406" s="34"/>
      <c r="H406" s="34"/>
      <c r="I406" s="34"/>
      <c r="J406" s="39"/>
      <c r="K406" s="34"/>
      <c r="L406" s="34"/>
      <c r="M406" s="34"/>
      <c r="N406" s="34"/>
      <c r="O406" s="34"/>
      <c r="P406" s="39"/>
      <c r="R406" s="40"/>
      <c r="S406" s="40"/>
      <c r="T406" s="40"/>
      <c r="U406" s="40"/>
    </row>
    <row r="407" spans="4:21" s="37" customFormat="1" ht="15.75" customHeight="1" x14ac:dyDescent="0.35">
      <c r="D407" s="40"/>
      <c r="E407" s="34"/>
      <c r="F407" s="34"/>
      <c r="G407" s="34"/>
      <c r="H407" s="34"/>
      <c r="I407" s="34"/>
      <c r="J407" s="39"/>
      <c r="K407" s="34"/>
      <c r="L407" s="34"/>
      <c r="M407" s="34"/>
      <c r="N407" s="34"/>
      <c r="O407" s="34"/>
      <c r="P407" s="39"/>
      <c r="R407" s="40"/>
      <c r="S407" s="40"/>
      <c r="T407" s="40"/>
      <c r="U407" s="40"/>
    </row>
    <row r="408" spans="4:21" s="37" customFormat="1" ht="15.75" customHeight="1" x14ac:dyDescent="0.35">
      <c r="D408" s="40"/>
      <c r="E408" s="34"/>
      <c r="F408" s="34"/>
      <c r="G408" s="34"/>
      <c r="H408" s="34"/>
      <c r="I408" s="34"/>
      <c r="J408" s="39"/>
      <c r="K408" s="34"/>
      <c r="L408" s="34"/>
      <c r="M408" s="34"/>
      <c r="N408" s="34"/>
      <c r="O408" s="34"/>
      <c r="P408" s="39"/>
      <c r="R408" s="40"/>
      <c r="S408" s="40"/>
      <c r="T408" s="40"/>
      <c r="U408" s="40"/>
    </row>
    <row r="409" spans="4:21" s="37" customFormat="1" ht="15.75" customHeight="1" x14ac:dyDescent="0.35">
      <c r="D409" s="40"/>
      <c r="E409" s="34"/>
      <c r="F409" s="34"/>
      <c r="G409" s="34"/>
      <c r="H409" s="34"/>
      <c r="I409" s="34"/>
      <c r="J409" s="39"/>
      <c r="K409" s="34"/>
      <c r="L409" s="34"/>
      <c r="M409" s="34"/>
      <c r="N409" s="34"/>
      <c r="O409" s="34"/>
      <c r="P409" s="39"/>
      <c r="R409" s="40"/>
      <c r="S409" s="40"/>
      <c r="T409" s="40"/>
      <c r="U409" s="40"/>
    </row>
    <row r="410" spans="4:21" s="37" customFormat="1" ht="15.75" customHeight="1" x14ac:dyDescent="0.35">
      <c r="D410" s="40"/>
      <c r="E410" s="34"/>
      <c r="F410" s="34"/>
      <c r="G410" s="34"/>
      <c r="H410" s="34"/>
      <c r="I410" s="34"/>
      <c r="J410" s="39"/>
      <c r="K410" s="34"/>
      <c r="L410" s="34"/>
      <c r="M410" s="34"/>
      <c r="N410" s="34"/>
      <c r="O410" s="34"/>
      <c r="P410" s="39"/>
      <c r="R410" s="40"/>
      <c r="S410" s="40"/>
      <c r="T410" s="40"/>
      <c r="U410" s="40"/>
    </row>
    <row r="411" spans="4:21" s="37" customFormat="1" ht="15.75" customHeight="1" x14ac:dyDescent="0.35">
      <c r="D411" s="40"/>
      <c r="E411" s="34"/>
      <c r="F411" s="34"/>
      <c r="G411" s="34"/>
      <c r="H411" s="34"/>
      <c r="I411" s="34"/>
      <c r="J411" s="39"/>
      <c r="K411" s="34"/>
      <c r="L411" s="34"/>
      <c r="M411" s="34"/>
      <c r="N411" s="34"/>
      <c r="O411" s="34"/>
      <c r="P411" s="39"/>
      <c r="R411" s="40"/>
      <c r="S411" s="40"/>
      <c r="T411" s="40"/>
      <c r="U411" s="40"/>
    </row>
    <row r="412" spans="4:21" s="37" customFormat="1" ht="15.75" customHeight="1" x14ac:dyDescent="0.35">
      <c r="D412" s="40"/>
      <c r="E412" s="34"/>
      <c r="F412" s="34"/>
      <c r="G412" s="34"/>
      <c r="H412" s="34"/>
      <c r="I412" s="34"/>
      <c r="J412" s="39"/>
      <c r="K412" s="34"/>
      <c r="L412" s="34"/>
      <c r="M412" s="34"/>
      <c r="N412" s="34"/>
      <c r="O412" s="34"/>
      <c r="P412" s="39"/>
      <c r="R412" s="40"/>
      <c r="S412" s="40"/>
      <c r="T412" s="40"/>
      <c r="U412" s="40"/>
    </row>
    <row r="413" spans="4:21" s="37" customFormat="1" ht="15.75" customHeight="1" x14ac:dyDescent="0.35">
      <c r="D413" s="40"/>
      <c r="E413" s="34"/>
      <c r="F413" s="34"/>
      <c r="G413" s="34"/>
      <c r="H413" s="34"/>
      <c r="I413" s="34"/>
      <c r="J413" s="39"/>
      <c r="K413" s="34"/>
      <c r="L413" s="34"/>
      <c r="M413" s="34"/>
      <c r="N413" s="34"/>
      <c r="O413" s="34"/>
      <c r="P413" s="39"/>
      <c r="R413" s="40"/>
      <c r="S413" s="40"/>
      <c r="T413" s="40"/>
      <c r="U413" s="40"/>
    </row>
    <row r="414" spans="4:21" s="37" customFormat="1" ht="15.75" customHeight="1" x14ac:dyDescent="0.35">
      <c r="D414" s="40"/>
      <c r="E414" s="34"/>
      <c r="F414" s="34"/>
      <c r="G414" s="34"/>
      <c r="H414" s="34"/>
      <c r="I414" s="34"/>
      <c r="J414" s="39"/>
      <c r="K414" s="34"/>
      <c r="L414" s="34"/>
      <c r="M414" s="34"/>
      <c r="N414" s="34"/>
      <c r="O414" s="34"/>
      <c r="P414" s="39"/>
      <c r="R414" s="40"/>
      <c r="S414" s="40"/>
      <c r="T414" s="40"/>
      <c r="U414" s="40"/>
    </row>
    <row r="415" spans="4:21" s="37" customFormat="1" ht="15.75" customHeight="1" x14ac:dyDescent="0.35">
      <c r="D415" s="40"/>
      <c r="E415" s="34"/>
      <c r="F415" s="34"/>
      <c r="G415" s="34"/>
      <c r="H415" s="34"/>
      <c r="I415" s="34"/>
      <c r="J415" s="39"/>
      <c r="K415" s="34"/>
      <c r="L415" s="34"/>
      <c r="M415" s="34"/>
      <c r="N415" s="34"/>
      <c r="O415" s="34"/>
      <c r="P415" s="39"/>
      <c r="R415" s="40"/>
      <c r="S415" s="40"/>
      <c r="T415" s="40"/>
      <c r="U415" s="40"/>
    </row>
    <row r="416" spans="4:21" s="37" customFormat="1" ht="15.75" customHeight="1" x14ac:dyDescent="0.35">
      <c r="D416" s="40"/>
      <c r="E416" s="34"/>
      <c r="F416" s="34"/>
      <c r="G416" s="34"/>
      <c r="H416" s="34"/>
      <c r="I416" s="34"/>
      <c r="J416" s="39"/>
      <c r="K416" s="34"/>
      <c r="L416" s="34"/>
      <c r="M416" s="34"/>
      <c r="N416" s="34"/>
      <c r="O416" s="34"/>
      <c r="P416" s="39"/>
      <c r="R416" s="40"/>
      <c r="S416" s="40"/>
      <c r="T416" s="40"/>
      <c r="U416" s="40"/>
    </row>
    <row r="417" spans="4:21" s="37" customFormat="1" ht="15.75" customHeight="1" x14ac:dyDescent="0.35">
      <c r="D417" s="40"/>
      <c r="E417" s="34"/>
      <c r="F417" s="34"/>
      <c r="G417" s="34"/>
      <c r="H417" s="34"/>
      <c r="I417" s="34"/>
      <c r="J417" s="39"/>
      <c r="K417" s="34"/>
      <c r="L417" s="34"/>
      <c r="M417" s="34"/>
      <c r="N417" s="34"/>
      <c r="O417" s="34"/>
      <c r="P417" s="39"/>
      <c r="R417" s="40"/>
      <c r="S417" s="40"/>
      <c r="T417" s="40"/>
      <c r="U417" s="40"/>
    </row>
    <row r="418" spans="4:21" s="37" customFormat="1" ht="15.75" customHeight="1" x14ac:dyDescent="0.35">
      <c r="D418" s="40"/>
      <c r="E418" s="34"/>
      <c r="F418" s="34"/>
      <c r="G418" s="34"/>
      <c r="H418" s="34"/>
      <c r="I418" s="34"/>
      <c r="J418" s="39"/>
      <c r="K418" s="34"/>
      <c r="L418" s="34"/>
      <c r="M418" s="34"/>
      <c r="N418" s="34"/>
      <c r="O418" s="34"/>
      <c r="P418" s="39"/>
      <c r="R418" s="40"/>
      <c r="S418" s="40"/>
      <c r="T418" s="40"/>
      <c r="U418" s="40"/>
    </row>
    <row r="419" spans="4:21" s="37" customFormat="1" ht="15.75" customHeight="1" x14ac:dyDescent="0.35">
      <c r="D419" s="40"/>
      <c r="E419" s="34"/>
      <c r="F419" s="34"/>
      <c r="G419" s="34"/>
      <c r="H419" s="34"/>
      <c r="I419" s="34"/>
      <c r="J419" s="39"/>
      <c r="K419" s="34"/>
      <c r="L419" s="34"/>
      <c r="M419" s="34"/>
      <c r="N419" s="34"/>
      <c r="O419" s="34"/>
      <c r="P419" s="39"/>
      <c r="R419" s="40"/>
      <c r="S419" s="40"/>
      <c r="T419" s="40"/>
      <c r="U419" s="40"/>
    </row>
    <row r="420" spans="4:21" s="37" customFormat="1" ht="15.75" customHeight="1" x14ac:dyDescent="0.35">
      <c r="D420" s="40"/>
      <c r="E420" s="34"/>
      <c r="F420" s="34"/>
      <c r="G420" s="34"/>
      <c r="H420" s="34"/>
      <c r="I420" s="34"/>
      <c r="J420" s="39"/>
      <c r="K420" s="34"/>
      <c r="L420" s="34"/>
      <c r="M420" s="34"/>
      <c r="N420" s="34"/>
      <c r="O420" s="34"/>
      <c r="P420" s="39"/>
      <c r="R420" s="40"/>
      <c r="S420" s="40"/>
      <c r="T420" s="40"/>
      <c r="U420" s="40"/>
    </row>
    <row r="421" spans="4:21" s="37" customFormat="1" ht="15.75" customHeight="1" x14ac:dyDescent="0.35">
      <c r="D421" s="40"/>
      <c r="E421" s="34"/>
      <c r="F421" s="34"/>
      <c r="G421" s="34"/>
      <c r="H421" s="34"/>
      <c r="I421" s="34"/>
      <c r="J421" s="39"/>
      <c r="K421" s="34"/>
      <c r="L421" s="34"/>
      <c r="M421" s="34"/>
      <c r="N421" s="34"/>
      <c r="O421" s="34"/>
      <c r="P421" s="39"/>
      <c r="R421" s="40"/>
      <c r="S421" s="40"/>
      <c r="T421" s="40"/>
      <c r="U421" s="40"/>
    </row>
    <row r="422" spans="4:21" s="37" customFormat="1" ht="15.75" customHeight="1" x14ac:dyDescent="0.35">
      <c r="D422" s="40"/>
      <c r="E422" s="34"/>
      <c r="F422" s="34"/>
      <c r="G422" s="34"/>
      <c r="H422" s="34"/>
      <c r="I422" s="34"/>
      <c r="J422" s="39"/>
      <c r="K422" s="34"/>
      <c r="L422" s="34"/>
      <c r="M422" s="34"/>
      <c r="N422" s="34"/>
      <c r="O422" s="34"/>
      <c r="P422" s="39"/>
      <c r="R422" s="40"/>
      <c r="S422" s="40"/>
      <c r="T422" s="40"/>
      <c r="U422" s="40"/>
    </row>
    <row r="423" spans="4:21" s="37" customFormat="1" ht="15.75" customHeight="1" x14ac:dyDescent="0.35">
      <c r="D423" s="40"/>
      <c r="E423" s="34"/>
      <c r="F423" s="34"/>
      <c r="G423" s="34"/>
      <c r="H423" s="34"/>
      <c r="I423" s="34"/>
      <c r="J423" s="39"/>
      <c r="K423" s="34"/>
      <c r="L423" s="34"/>
      <c r="M423" s="34"/>
      <c r="N423" s="34"/>
      <c r="O423" s="34"/>
      <c r="P423" s="39"/>
      <c r="R423" s="40"/>
      <c r="S423" s="40"/>
      <c r="T423" s="40"/>
      <c r="U423" s="40"/>
    </row>
    <row r="424" spans="4:21" s="37" customFormat="1" ht="15.75" customHeight="1" x14ac:dyDescent="0.35">
      <c r="D424" s="40"/>
      <c r="E424" s="34"/>
      <c r="F424" s="34"/>
      <c r="G424" s="34"/>
      <c r="H424" s="34"/>
      <c r="I424" s="34"/>
      <c r="J424" s="39"/>
      <c r="K424" s="34"/>
      <c r="L424" s="34"/>
      <c r="M424" s="34"/>
      <c r="N424" s="34"/>
      <c r="O424" s="34"/>
      <c r="P424" s="39"/>
      <c r="R424" s="40"/>
      <c r="S424" s="40"/>
      <c r="T424" s="40"/>
      <c r="U424" s="40"/>
    </row>
    <row r="425" spans="4:21" s="37" customFormat="1" ht="15.75" customHeight="1" x14ac:dyDescent="0.35">
      <c r="D425" s="40"/>
      <c r="E425" s="34"/>
      <c r="F425" s="34"/>
      <c r="G425" s="34"/>
      <c r="H425" s="34"/>
      <c r="I425" s="34"/>
      <c r="J425" s="39"/>
      <c r="K425" s="34"/>
      <c r="L425" s="34"/>
      <c r="M425" s="34"/>
      <c r="N425" s="34"/>
      <c r="O425" s="34"/>
      <c r="P425" s="39"/>
      <c r="R425" s="40"/>
      <c r="S425" s="40"/>
      <c r="T425" s="40"/>
      <c r="U425" s="40"/>
    </row>
    <row r="426" spans="4:21" s="37" customFormat="1" ht="15.75" customHeight="1" x14ac:dyDescent="0.35">
      <c r="D426" s="40"/>
      <c r="E426" s="34"/>
      <c r="F426" s="34"/>
      <c r="G426" s="34"/>
      <c r="H426" s="34"/>
      <c r="I426" s="34"/>
      <c r="J426" s="39"/>
      <c r="K426" s="34"/>
      <c r="L426" s="34"/>
      <c r="M426" s="34"/>
      <c r="N426" s="34"/>
      <c r="O426" s="34"/>
      <c r="P426" s="39"/>
      <c r="R426" s="40"/>
      <c r="S426" s="40"/>
      <c r="T426" s="40"/>
      <c r="U426" s="40"/>
    </row>
    <row r="427" spans="4:21" s="37" customFormat="1" ht="15.75" customHeight="1" x14ac:dyDescent="0.35">
      <c r="D427" s="40"/>
      <c r="E427" s="34"/>
      <c r="F427" s="34"/>
      <c r="G427" s="34"/>
      <c r="H427" s="34"/>
      <c r="I427" s="34"/>
      <c r="J427" s="39"/>
      <c r="K427" s="34"/>
      <c r="L427" s="34"/>
      <c r="M427" s="34"/>
      <c r="N427" s="34"/>
      <c r="O427" s="34"/>
      <c r="P427" s="39"/>
      <c r="R427" s="40"/>
      <c r="S427" s="40"/>
      <c r="T427" s="40"/>
      <c r="U427" s="40"/>
    </row>
    <row r="428" spans="4:21" s="37" customFormat="1" ht="15.75" customHeight="1" x14ac:dyDescent="0.35">
      <c r="D428" s="40"/>
      <c r="E428" s="34"/>
      <c r="F428" s="34"/>
      <c r="G428" s="34"/>
      <c r="H428" s="34"/>
      <c r="I428" s="34"/>
      <c r="J428" s="39"/>
      <c r="K428" s="34"/>
      <c r="L428" s="34"/>
      <c r="M428" s="34"/>
      <c r="N428" s="34"/>
      <c r="O428" s="34"/>
      <c r="P428" s="39"/>
      <c r="R428" s="40"/>
      <c r="S428" s="40"/>
      <c r="T428" s="40"/>
      <c r="U428" s="40"/>
    </row>
    <row r="429" spans="4:21" s="37" customFormat="1" ht="15.75" customHeight="1" x14ac:dyDescent="0.35">
      <c r="D429" s="40"/>
      <c r="E429" s="34"/>
      <c r="F429" s="34"/>
      <c r="G429" s="34"/>
      <c r="H429" s="34"/>
      <c r="I429" s="34"/>
      <c r="J429" s="39"/>
      <c r="K429" s="34"/>
      <c r="L429" s="34"/>
      <c r="M429" s="34"/>
      <c r="N429" s="34"/>
      <c r="O429" s="34"/>
      <c r="P429" s="39"/>
      <c r="R429" s="40"/>
      <c r="S429" s="40"/>
      <c r="T429" s="40"/>
      <c r="U429" s="40"/>
    </row>
    <row r="430" spans="4:21" s="37" customFormat="1" ht="15.75" customHeight="1" x14ac:dyDescent="0.35">
      <c r="D430" s="40"/>
      <c r="E430" s="34"/>
      <c r="F430" s="34"/>
      <c r="G430" s="34"/>
      <c r="H430" s="34"/>
      <c r="I430" s="34"/>
      <c r="J430" s="39"/>
      <c r="K430" s="34"/>
      <c r="L430" s="34"/>
      <c r="M430" s="34"/>
      <c r="N430" s="34"/>
      <c r="O430" s="34"/>
      <c r="P430" s="39"/>
      <c r="R430" s="40"/>
      <c r="S430" s="40"/>
      <c r="T430" s="40"/>
      <c r="U430" s="40"/>
    </row>
    <row r="431" spans="4:21" s="37" customFormat="1" ht="15.75" customHeight="1" x14ac:dyDescent="0.35">
      <c r="D431" s="40"/>
      <c r="E431" s="34"/>
      <c r="F431" s="34"/>
      <c r="G431" s="34"/>
      <c r="H431" s="34"/>
      <c r="I431" s="34"/>
      <c r="J431" s="39"/>
      <c r="K431" s="34"/>
      <c r="L431" s="34"/>
      <c r="M431" s="34"/>
      <c r="N431" s="34"/>
      <c r="O431" s="34"/>
      <c r="P431" s="39"/>
      <c r="R431" s="40"/>
      <c r="S431" s="40"/>
      <c r="T431" s="40"/>
      <c r="U431" s="40"/>
    </row>
    <row r="432" spans="4:21" s="37" customFormat="1" ht="15.75" customHeight="1" x14ac:dyDescent="0.35">
      <c r="D432" s="40"/>
      <c r="E432" s="34"/>
      <c r="F432" s="34"/>
      <c r="G432" s="34"/>
      <c r="H432" s="34"/>
      <c r="I432" s="34"/>
      <c r="J432" s="39"/>
      <c r="K432" s="34"/>
      <c r="L432" s="34"/>
      <c r="M432" s="34"/>
      <c r="N432" s="34"/>
      <c r="O432" s="34"/>
      <c r="P432" s="39"/>
      <c r="R432" s="40"/>
      <c r="S432" s="40"/>
      <c r="T432" s="40"/>
      <c r="U432" s="40"/>
    </row>
    <row r="433" spans="4:21" s="37" customFormat="1" ht="15.75" customHeight="1" x14ac:dyDescent="0.35">
      <c r="D433" s="40"/>
      <c r="E433" s="34"/>
      <c r="F433" s="34"/>
      <c r="G433" s="34"/>
      <c r="H433" s="34"/>
      <c r="I433" s="34"/>
      <c r="J433" s="39"/>
      <c r="K433" s="34"/>
      <c r="L433" s="34"/>
      <c r="M433" s="34"/>
      <c r="N433" s="34"/>
      <c r="O433" s="34"/>
      <c r="P433" s="39"/>
      <c r="R433" s="40"/>
      <c r="S433" s="40"/>
      <c r="T433" s="40"/>
      <c r="U433" s="40"/>
    </row>
    <row r="434" spans="4:21" s="37" customFormat="1" ht="15.75" customHeight="1" x14ac:dyDescent="0.35">
      <c r="D434" s="40"/>
      <c r="E434" s="34"/>
      <c r="F434" s="34"/>
      <c r="G434" s="34"/>
      <c r="H434" s="34"/>
      <c r="I434" s="34"/>
      <c r="J434" s="39"/>
      <c r="K434" s="34"/>
      <c r="L434" s="34"/>
      <c r="M434" s="34"/>
      <c r="N434" s="34"/>
      <c r="O434" s="34"/>
      <c r="P434" s="39"/>
      <c r="R434" s="40"/>
      <c r="S434" s="40"/>
      <c r="T434" s="40"/>
      <c r="U434" s="40"/>
    </row>
    <row r="435" spans="4:21" s="37" customFormat="1" ht="15.75" customHeight="1" x14ac:dyDescent="0.35">
      <c r="D435" s="40"/>
      <c r="E435" s="34"/>
      <c r="F435" s="34"/>
      <c r="G435" s="34"/>
      <c r="H435" s="34"/>
      <c r="I435" s="34"/>
      <c r="J435" s="39"/>
      <c r="K435" s="34"/>
      <c r="L435" s="34"/>
      <c r="M435" s="34"/>
      <c r="N435" s="34"/>
      <c r="O435" s="34"/>
      <c r="P435" s="39"/>
      <c r="R435" s="40"/>
      <c r="S435" s="40"/>
      <c r="T435" s="40"/>
      <c r="U435" s="40"/>
    </row>
    <row r="436" spans="4:21" s="37" customFormat="1" ht="15.75" customHeight="1" x14ac:dyDescent="0.35">
      <c r="D436" s="40"/>
      <c r="E436" s="34"/>
      <c r="F436" s="34"/>
      <c r="G436" s="34"/>
      <c r="H436" s="34"/>
      <c r="I436" s="34"/>
      <c r="J436" s="39"/>
      <c r="K436" s="34"/>
      <c r="L436" s="34"/>
      <c r="M436" s="34"/>
      <c r="N436" s="34"/>
      <c r="O436" s="34"/>
      <c r="P436" s="39"/>
      <c r="R436" s="40"/>
      <c r="S436" s="40"/>
      <c r="T436" s="40"/>
      <c r="U436" s="40"/>
    </row>
    <row r="437" spans="4:21" s="37" customFormat="1" ht="15.75" customHeight="1" x14ac:dyDescent="0.35">
      <c r="D437" s="40"/>
      <c r="E437" s="34"/>
      <c r="F437" s="34"/>
      <c r="G437" s="34"/>
      <c r="H437" s="34"/>
      <c r="I437" s="34"/>
      <c r="J437" s="39"/>
      <c r="K437" s="34"/>
      <c r="L437" s="34"/>
      <c r="M437" s="34"/>
      <c r="N437" s="34"/>
      <c r="O437" s="34"/>
      <c r="P437" s="39"/>
      <c r="R437" s="40"/>
      <c r="S437" s="40"/>
      <c r="T437" s="40"/>
      <c r="U437" s="40"/>
    </row>
    <row r="438" spans="4:21" s="37" customFormat="1" ht="15.75" customHeight="1" x14ac:dyDescent="0.35">
      <c r="D438" s="40"/>
      <c r="E438" s="34"/>
      <c r="F438" s="34"/>
      <c r="G438" s="34"/>
      <c r="H438" s="34"/>
      <c r="I438" s="34"/>
      <c r="J438" s="39"/>
      <c r="K438" s="34"/>
      <c r="L438" s="34"/>
      <c r="M438" s="34"/>
      <c r="N438" s="34"/>
      <c r="O438" s="34"/>
      <c r="P438" s="39"/>
      <c r="R438" s="40"/>
      <c r="S438" s="40"/>
      <c r="T438" s="40"/>
      <c r="U438" s="40"/>
    </row>
    <row r="439" spans="4:21" s="37" customFormat="1" ht="15.75" customHeight="1" x14ac:dyDescent="0.35">
      <c r="D439" s="40"/>
      <c r="E439" s="34"/>
      <c r="F439" s="34"/>
      <c r="G439" s="34"/>
      <c r="H439" s="34"/>
      <c r="I439" s="34"/>
      <c r="J439" s="39"/>
      <c r="K439" s="34"/>
      <c r="L439" s="34"/>
      <c r="M439" s="34"/>
      <c r="N439" s="34"/>
      <c r="O439" s="34"/>
      <c r="P439" s="39"/>
      <c r="R439" s="40"/>
      <c r="S439" s="40"/>
      <c r="T439" s="40"/>
      <c r="U439" s="40"/>
    </row>
    <row r="440" spans="4:21" s="37" customFormat="1" ht="15.75" customHeight="1" x14ac:dyDescent="0.35">
      <c r="D440" s="40"/>
      <c r="E440" s="34"/>
      <c r="F440" s="34"/>
      <c r="G440" s="34"/>
      <c r="H440" s="34"/>
      <c r="I440" s="34"/>
      <c r="J440" s="39"/>
      <c r="K440" s="34"/>
      <c r="L440" s="34"/>
      <c r="M440" s="34"/>
      <c r="N440" s="34"/>
      <c r="O440" s="34"/>
      <c r="P440" s="39"/>
      <c r="R440" s="40"/>
      <c r="S440" s="40"/>
      <c r="T440" s="40"/>
      <c r="U440" s="40"/>
    </row>
    <row r="441" spans="4:21" s="37" customFormat="1" ht="15.75" customHeight="1" x14ac:dyDescent="0.35">
      <c r="D441" s="40"/>
      <c r="E441" s="34"/>
      <c r="F441" s="34"/>
      <c r="G441" s="34"/>
      <c r="H441" s="34"/>
      <c r="I441" s="34"/>
      <c r="J441" s="39"/>
      <c r="K441" s="34"/>
      <c r="L441" s="34"/>
      <c r="M441" s="34"/>
      <c r="N441" s="34"/>
      <c r="O441" s="34"/>
      <c r="P441" s="39"/>
      <c r="R441" s="40"/>
      <c r="S441" s="40"/>
      <c r="T441" s="40"/>
      <c r="U441" s="40"/>
    </row>
    <row r="442" spans="4:21" s="37" customFormat="1" ht="15.75" customHeight="1" x14ac:dyDescent="0.35">
      <c r="D442" s="40"/>
      <c r="E442" s="34"/>
      <c r="F442" s="34"/>
      <c r="G442" s="34"/>
      <c r="H442" s="34"/>
      <c r="I442" s="34"/>
      <c r="J442" s="39"/>
      <c r="K442" s="34"/>
      <c r="L442" s="34"/>
      <c r="M442" s="34"/>
      <c r="N442" s="34"/>
      <c r="O442" s="34"/>
      <c r="P442" s="39"/>
      <c r="R442" s="40"/>
      <c r="S442" s="40"/>
      <c r="T442" s="40"/>
      <c r="U442" s="40"/>
    </row>
    <row r="443" spans="4:21" s="37" customFormat="1" ht="15.75" customHeight="1" x14ac:dyDescent="0.35">
      <c r="D443" s="40"/>
      <c r="E443" s="34"/>
      <c r="F443" s="34"/>
      <c r="G443" s="34"/>
      <c r="H443" s="34"/>
      <c r="I443" s="34"/>
      <c r="J443" s="39"/>
      <c r="K443" s="34"/>
      <c r="L443" s="34"/>
      <c r="M443" s="34"/>
      <c r="N443" s="34"/>
      <c r="O443" s="34"/>
      <c r="P443" s="39"/>
      <c r="R443" s="40"/>
      <c r="S443" s="40"/>
      <c r="T443" s="40"/>
      <c r="U443" s="40"/>
    </row>
    <row r="444" spans="4:21" s="37" customFormat="1" ht="15.75" customHeight="1" x14ac:dyDescent="0.35">
      <c r="D444" s="40"/>
      <c r="E444" s="34"/>
      <c r="F444" s="34"/>
      <c r="G444" s="34"/>
      <c r="H444" s="34"/>
      <c r="I444" s="34"/>
      <c r="J444" s="39"/>
      <c r="K444" s="34"/>
      <c r="L444" s="34"/>
      <c r="M444" s="34"/>
      <c r="N444" s="34"/>
      <c r="O444" s="34"/>
      <c r="P444" s="39"/>
      <c r="R444" s="40"/>
      <c r="S444" s="40"/>
      <c r="T444" s="40"/>
      <c r="U444" s="40"/>
    </row>
    <row r="445" spans="4:21" s="37" customFormat="1" ht="15.75" customHeight="1" x14ac:dyDescent="0.35">
      <c r="D445" s="40"/>
      <c r="E445" s="34"/>
      <c r="F445" s="34"/>
      <c r="G445" s="34"/>
      <c r="H445" s="34"/>
      <c r="I445" s="34"/>
      <c r="J445" s="39"/>
      <c r="K445" s="34"/>
      <c r="L445" s="34"/>
      <c r="M445" s="34"/>
      <c r="N445" s="34"/>
      <c r="O445" s="34"/>
      <c r="P445" s="39"/>
      <c r="R445" s="40"/>
      <c r="S445" s="40"/>
      <c r="T445" s="40"/>
      <c r="U445" s="40"/>
    </row>
    <row r="446" spans="4:21" s="37" customFormat="1" ht="15.75" customHeight="1" x14ac:dyDescent="0.35">
      <c r="D446" s="40"/>
      <c r="E446" s="34"/>
      <c r="F446" s="34"/>
      <c r="G446" s="34"/>
      <c r="H446" s="34"/>
      <c r="I446" s="34"/>
      <c r="J446" s="39"/>
      <c r="K446" s="34"/>
      <c r="L446" s="34"/>
      <c r="M446" s="34"/>
      <c r="N446" s="34"/>
      <c r="O446" s="34"/>
      <c r="P446" s="39"/>
      <c r="R446" s="40"/>
      <c r="S446" s="40"/>
      <c r="T446" s="40"/>
      <c r="U446" s="40"/>
    </row>
    <row r="447" spans="4:21" s="37" customFormat="1" ht="15.75" customHeight="1" x14ac:dyDescent="0.35">
      <c r="D447" s="40"/>
      <c r="E447" s="34"/>
      <c r="F447" s="34"/>
      <c r="G447" s="34"/>
      <c r="H447" s="34"/>
      <c r="I447" s="34"/>
      <c r="J447" s="39"/>
      <c r="K447" s="34"/>
      <c r="L447" s="34"/>
      <c r="M447" s="34"/>
      <c r="N447" s="34"/>
      <c r="O447" s="34"/>
      <c r="P447" s="39"/>
      <c r="R447" s="40"/>
      <c r="S447" s="40"/>
      <c r="T447" s="40"/>
      <c r="U447" s="40"/>
    </row>
    <row r="448" spans="4:21" s="37" customFormat="1" ht="15.75" customHeight="1" x14ac:dyDescent="0.35">
      <c r="D448" s="40"/>
      <c r="E448" s="34"/>
      <c r="F448" s="34"/>
      <c r="G448" s="34"/>
      <c r="H448" s="34"/>
      <c r="I448" s="34"/>
      <c r="J448" s="39"/>
      <c r="K448" s="34"/>
      <c r="L448" s="34"/>
      <c r="M448" s="34"/>
      <c r="N448" s="34"/>
      <c r="O448" s="34"/>
      <c r="P448" s="39"/>
      <c r="R448" s="40"/>
      <c r="S448" s="40"/>
      <c r="T448" s="40"/>
      <c r="U448" s="40"/>
    </row>
    <row r="449" spans="4:21" s="37" customFormat="1" ht="15.75" customHeight="1" x14ac:dyDescent="0.35">
      <c r="D449" s="40"/>
      <c r="E449" s="34"/>
      <c r="F449" s="34"/>
      <c r="G449" s="34"/>
      <c r="H449" s="34"/>
      <c r="I449" s="34"/>
      <c r="J449" s="39"/>
      <c r="K449" s="34"/>
      <c r="L449" s="34"/>
      <c r="M449" s="34"/>
      <c r="N449" s="34"/>
      <c r="O449" s="34"/>
      <c r="P449" s="39"/>
      <c r="R449" s="40"/>
      <c r="S449" s="40"/>
      <c r="T449" s="40"/>
      <c r="U449" s="40"/>
    </row>
    <row r="450" spans="4:21" s="37" customFormat="1" ht="15.75" customHeight="1" x14ac:dyDescent="0.35">
      <c r="D450" s="40"/>
      <c r="E450" s="34"/>
      <c r="F450" s="34"/>
      <c r="G450" s="34"/>
      <c r="H450" s="34"/>
      <c r="I450" s="34"/>
      <c r="J450" s="39"/>
      <c r="K450" s="34"/>
      <c r="L450" s="34"/>
      <c r="M450" s="34"/>
      <c r="N450" s="34"/>
      <c r="O450" s="34"/>
      <c r="P450" s="39"/>
      <c r="R450" s="40"/>
      <c r="S450" s="40"/>
      <c r="T450" s="40"/>
      <c r="U450" s="40"/>
    </row>
    <row r="451" spans="4:21" s="37" customFormat="1" ht="15.75" customHeight="1" x14ac:dyDescent="0.35">
      <c r="D451" s="40"/>
      <c r="E451" s="34"/>
      <c r="F451" s="34"/>
      <c r="G451" s="34"/>
      <c r="H451" s="34"/>
      <c r="I451" s="34"/>
      <c r="J451" s="39"/>
      <c r="K451" s="34"/>
      <c r="L451" s="34"/>
      <c r="M451" s="34"/>
      <c r="N451" s="34"/>
      <c r="O451" s="34"/>
      <c r="P451" s="39"/>
      <c r="R451" s="40"/>
      <c r="S451" s="40"/>
      <c r="T451" s="40"/>
      <c r="U451" s="40"/>
    </row>
    <row r="452" spans="4:21" s="37" customFormat="1" ht="15.75" customHeight="1" x14ac:dyDescent="0.35">
      <c r="D452" s="40"/>
      <c r="E452" s="34"/>
      <c r="F452" s="34"/>
      <c r="G452" s="34"/>
      <c r="H452" s="34"/>
      <c r="I452" s="34"/>
      <c r="J452" s="39"/>
      <c r="K452" s="34"/>
      <c r="L452" s="34"/>
      <c r="M452" s="34"/>
      <c r="N452" s="34"/>
      <c r="O452" s="34"/>
      <c r="P452" s="39"/>
      <c r="R452" s="40"/>
      <c r="S452" s="40"/>
      <c r="T452" s="40"/>
      <c r="U452" s="40"/>
    </row>
    <row r="453" spans="4:21" s="37" customFormat="1" ht="15.75" customHeight="1" x14ac:dyDescent="0.35">
      <c r="D453" s="40"/>
      <c r="E453" s="34"/>
      <c r="F453" s="34"/>
      <c r="G453" s="34"/>
      <c r="H453" s="34"/>
      <c r="I453" s="34"/>
      <c r="J453" s="39"/>
      <c r="K453" s="34"/>
      <c r="L453" s="34"/>
      <c r="M453" s="34"/>
      <c r="N453" s="34"/>
      <c r="O453" s="34"/>
      <c r="P453" s="39"/>
      <c r="R453" s="40"/>
      <c r="S453" s="40"/>
      <c r="T453" s="40"/>
      <c r="U453" s="40"/>
    </row>
    <row r="454" spans="4:21" s="37" customFormat="1" ht="15.75" customHeight="1" x14ac:dyDescent="0.35">
      <c r="D454" s="40"/>
      <c r="E454" s="34"/>
      <c r="F454" s="34"/>
      <c r="G454" s="34"/>
      <c r="H454" s="34"/>
      <c r="I454" s="34"/>
      <c r="J454" s="39"/>
      <c r="K454" s="34"/>
      <c r="L454" s="34"/>
      <c r="M454" s="34"/>
      <c r="N454" s="34"/>
      <c r="O454" s="34"/>
      <c r="P454" s="39"/>
      <c r="R454" s="40"/>
      <c r="S454" s="40"/>
      <c r="T454" s="40"/>
      <c r="U454" s="40"/>
    </row>
    <row r="455" spans="4:21" s="37" customFormat="1" ht="15.75" customHeight="1" x14ac:dyDescent="0.35">
      <c r="D455" s="40"/>
      <c r="E455" s="34"/>
      <c r="F455" s="34"/>
      <c r="G455" s="34"/>
      <c r="H455" s="34"/>
      <c r="I455" s="34"/>
      <c r="J455" s="39"/>
      <c r="K455" s="34"/>
      <c r="L455" s="34"/>
      <c r="M455" s="34"/>
      <c r="N455" s="34"/>
      <c r="O455" s="34"/>
      <c r="P455" s="39"/>
      <c r="R455" s="40"/>
      <c r="S455" s="40"/>
      <c r="T455" s="40"/>
      <c r="U455" s="40"/>
    </row>
    <row r="456" spans="4:21" s="37" customFormat="1" ht="15.75" customHeight="1" x14ac:dyDescent="0.35">
      <c r="D456" s="40"/>
      <c r="E456" s="34"/>
      <c r="F456" s="34"/>
      <c r="G456" s="34"/>
      <c r="H456" s="34"/>
      <c r="I456" s="34"/>
      <c r="J456" s="39"/>
      <c r="K456" s="34"/>
      <c r="L456" s="34"/>
      <c r="M456" s="34"/>
      <c r="N456" s="34"/>
      <c r="O456" s="34"/>
      <c r="P456" s="39"/>
      <c r="R456" s="40"/>
      <c r="S456" s="40"/>
      <c r="T456" s="40"/>
      <c r="U456" s="40"/>
    </row>
    <row r="457" spans="4:21" s="37" customFormat="1" ht="15.75" customHeight="1" x14ac:dyDescent="0.35">
      <c r="D457" s="40"/>
      <c r="E457" s="34"/>
      <c r="F457" s="34"/>
      <c r="G457" s="34"/>
      <c r="H457" s="34"/>
      <c r="I457" s="34"/>
      <c r="J457" s="39"/>
      <c r="K457" s="34"/>
      <c r="L457" s="34"/>
      <c r="M457" s="34"/>
      <c r="N457" s="34"/>
      <c r="O457" s="34"/>
      <c r="P457" s="39"/>
      <c r="R457" s="40"/>
      <c r="S457" s="40"/>
      <c r="T457" s="40"/>
      <c r="U457" s="40"/>
    </row>
    <row r="458" spans="4:21" s="37" customFormat="1" ht="15.75" customHeight="1" x14ac:dyDescent="0.35">
      <c r="D458" s="40"/>
      <c r="E458" s="34"/>
      <c r="F458" s="34"/>
      <c r="G458" s="34"/>
      <c r="H458" s="34"/>
      <c r="I458" s="34"/>
      <c r="J458" s="39"/>
      <c r="K458" s="34"/>
      <c r="L458" s="34"/>
      <c r="M458" s="34"/>
      <c r="N458" s="34"/>
      <c r="O458" s="34"/>
      <c r="P458" s="39"/>
      <c r="R458" s="40"/>
      <c r="S458" s="40"/>
      <c r="T458" s="40"/>
      <c r="U458" s="40"/>
    </row>
    <row r="459" spans="4:21" s="37" customFormat="1" ht="15.75" customHeight="1" x14ac:dyDescent="0.35">
      <c r="D459" s="40"/>
      <c r="E459" s="34"/>
      <c r="F459" s="34"/>
      <c r="G459" s="34"/>
      <c r="H459" s="34"/>
      <c r="I459" s="34"/>
      <c r="J459" s="39"/>
      <c r="K459" s="34"/>
      <c r="L459" s="34"/>
      <c r="M459" s="34"/>
      <c r="N459" s="34"/>
      <c r="O459" s="34"/>
      <c r="P459" s="39"/>
      <c r="R459" s="40"/>
      <c r="S459" s="40"/>
      <c r="T459" s="40"/>
      <c r="U459" s="40"/>
    </row>
    <row r="460" spans="4:21" s="37" customFormat="1" ht="15.75" customHeight="1" x14ac:dyDescent="0.35">
      <c r="D460" s="40"/>
      <c r="E460" s="34"/>
      <c r="F460" s="34"/>
      <c r="G460" s="34"/>
      <c r="H460" s="34"/>
      <c r="I460" s="34"/>
      <c r="J460" s="39"/>
      <c r="K460" s="34"/>
      <c r="L460" s="34"/>
      <c r="M460" s="34"/>
      <c r="N460" s="34"/>
      <c r="O460" s="34"/>
      <c r="P460" s="39"/>
      <c r="R460" s="40"/>
      <c r="S460" s="40"/>
      <c r="T460" s="40"/>
      <c r="U460" s="40"/>
    </row>
    <row r="461" spans="4:21" s="37" customFormat="1" ht="15.75" customHeight="1" x14ac:dyDescent="0.35">
      <c r="D461" s="40"/>
      <c r="E461" s="34"/>
      <c r="F461" s="34"/>
      <c r="G461" s="34"/>
      <c r="H461" s="34"/>
      <c r="I461" s="34"/>
      <c r="J461" s="39"/>
      <c r="K461" s="34"/>
      <c r="L461" s="34"/>
      <c r="M461" s="34"/>
      <c r="N461" s="34"/>
      <c r="O461" s="34"/>
      <c r="P461" s="39"/>
      <c r="R461" s="40"/>
      <c r="S461" s="40"/>
      <c r="T461" s="40"/>
      <c r="U461" s="40"/>
    </row>
    <row r="462" spans="4:21" s="37" customFormat="1" ht="15.75" customHeight="1" x14ac:dyDescent="0.35">
      <c r="D462" s="40"/>
      <c r="E462" s="34"/>
      <c r="F462" s="34"/>
      <c r="G462" s="34"/>
      <c r="H462" s="34"/>
      <c r="I462" s="34"/>
      <c r="J462" s="39"/>
      <c r="K462" s="34"/>
      <c r="L462" s="34"/>
      <c r="M462" s="34"/>
      <c r="N462" s="34"/>
      <c r="O462" s="34"/>
      <c r="P462" s="39"/>
      <c r="R462" s="40"/>
      <c r="S462" s="40"/>
      <c r="T462" s="40"/>
      <c r="U462" s="40"/>
    </row>
    <row r="463" spans="4:21" s="37" customFormat="1" ht="15.75" customHeight="1" x14ac:dyDescent="0.35">
      <c r="D463" s="40"/>
      <c r="E463" s="34"/>
      <c r="F463" s="34"/>
      <c r="G463" s="34"/>
      <c r="H463" s="34"/>
      <c r="I463" s="34"/>
      <c r="J463" s="39"/>
      <c r="K463" s="34"/>
      <c r="L463" s="34"/>
      <c r="M463" s="34"/>
      <c r="N463" s="34"/>
      <c r="O463" s="34"/>
      <c r="P463" s="39"/>
      <c r="R463" s="40"/>
      <c r="S463" s="40"/>
      <c r="T463" s="40"/>
      <c r="U463" s="40"/>
    </row>
    <row r="464" spans="4:21" s="37" customFormat="1" ht="15.75" customHeight="1" x14ac:dyDescent="0.35">
      <c r="D464" s="40"/>
      <c r="E464" s="34"/>
      <c r="F464" s="34"/>
      <c r="G464" s="34"/>
      <c r="H464" s="34"/>
      <c r="I464" s="34"/>
      <c r="J464" s="39"/>
      <c r="K464" s="34"/>
      <c r="L464" s="34"/>
      <c r="M464" s="34"/>
      <c r="N464" s="34"/>
      <c r="O464" s="34"/>
      <c r="P464" s="39"/>
      <c r="R464" s="40"/>
      <c r="S464" s="40"/>
      <c r="T464" s="40"/>
      <c r="U464" s="40"/>
    </row>
    <row r="465" spans="4:21" s="37" customFormat="1" ht="16.95" customHeight="1" x14ac:dyDescent="0.35">
      <c r="D465" s="40"/>
      <c r="E465" s="34"/>
      <c r="F465" s="34"/>
      <c r="G465" s="34"/>
      <c r="H465" s="34"/>
      <c r="I465" s="34"/>
      <c r="J465" s="39"/>
      <c r="K465" s="34"/>
      <c r="L465" s="34"/>
      <c r="M465" s="34"/>
      <c r="N465" s="34"/>
      <c r="O465" s="34"/>
      <c r="P465" s="39"/>
      <c r="R465" s="40"/>
      <c r="S465" s="40"/>
      <c r="T465" s="40"/>
      <c r="U465" s="40"/>
    </row>
    <row r="466" spans="4:21" ht="15.75" customHeight="1" x14ac:dyDescent="0.35"/>
    <row r="467" spans="4:21" ht="15.75" customHeight="1" x14ac:dyDescent="0.35"/>
    <row r="468" spans="4:21" ht="15.75" customHeight="1" x14ac:dyDescent="0.35"/>
    <row r="469" spans="4:21" ht="15.75" customHeight="1" x14ac:dyDescent="0.35"/>
    <row r="470" spans="4:21" ht="15.75" customHeight="1" x14ac:dyDescent="0.35"/>
    <row r="471" spans="4:21" ht="15.75" customHeight="1" x14ac:dyDescent="0.35"/>
    <row r="472" spans="4:21" ht="15.75" customHeight="1" x14ac:dyDescent="0.35"/>
    <row r="473" spans="4:21" ht="15.75" customHeight="1" x14ac:dyDescent="0.35"/>
    <row r="474" spans="4:21" ht="15.75" customHeight="1" x14ac:dyDescent="0.35"/>
    <row r="475" spans="4:21" ht="15.75" customHeight="1" x14ac:dyDescent="0.35"/>
    <row r="476" spans="4:21" ht="15.75" customHeight="1" x14ac:dyDescent="0.35"/>
    <row r="477" spans="4:21" ht="15.75" customHeight="1" x14ac:dyDescent="0.35"/>
    <row r="478" spans="4:21" ht="15.75" customHeight="1" x14ac:dyDescent="0.35"/>
    <row r="479" spans="4:21" ht="15.75" customHeight="1" x14ac:dyDescent="0.35"/>
    <row r="480" spans="4:21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</sheetData>
  <sheetProtection sheet="1" selectLockedCells="0" selectUnlockedCells="0"/>
  <mergeCells count="109">
    <mergeCell ref="E46:I46"/>
    <mergeCell ref="K46:O46"/>
    <mergeCell ref="K47:P47"/>
    <mergeCell ref="E50:I50"/>
    <mergeCell ref="E42:I42"/>
    <mergeCell ref="K42:P42"/>
    <mergeCell ref="B43:C46"/>
    <mergeCell ref="E43:I43"/>
    <mergeCell ref="K43:O43"/>
    <mergeCell ref="Q43:U43"/>
    <mergeCell ref="E44:I44"/>
    <mergeCell ref="K44:O44"/>
    <mergeCell ref="E45:I45"/>
    <mergeCell ref="K45:O45"/>
    <mergeCell ref="B38:C41"/>
    <mergeCell ref="E38:I38"/>
    <mergeCell ref="K38:O38"/>
    <mergeCell ref="Q38:U38"/>
    <mergeCell ref="E39:I39"/>
    <mergeCell ref="K39:O39"/>
    <mergeCell ref="E40:I40"/>
    <mergeCell ref="K40:O40"/>
    <mergeCell ref="E41:I41"/>
    <mergeCell ref="K41:O41"/>
    <mergeCell ref="E35:I35"/>
    <mergeCell ref="K35:O35"/>
    <mergeCell ref="E36:I36"/>
    <mergeCell ref="K36:O36"/>
    <mergeCell ref="D37:I37"/>
    <mergeCell ref="K37:P37"/>
    <mergeCell ref="E31:I31"/>
    <mergeCell ref="K31:O31"/>
    <mergeCell ref="B32:C36"/>
    <mergeCell ref="E32:I32"/>
    <mergeCell ref="K32:O32"/>
    <mergeCell ref="Q32:U32"/>
    <mergeCell ref="E33:I33"/>
    <mergeCell ref="K33:O33"/>
    <mergeCell ref="E34:I34"/>
    <mergeCell ref="K34:O34"/>
    <mergeCell ref="Q27:U27"/>
    <mergeCell ref="E28:I28"/>
    <mergeCell ref="K28:O28"/>
    <mergeCell ref="E29:I29"/>
    <mergeCell ref="K29:O29"/>
    <mergeCell ref="E30:I30"/>
    <mergeCell ref="K30:O30"/>
    <mergeCell ref="E26:I26"/>
    <mergeCell ref="K26:O26"/>
    <mergeCell ref="B27:B30"/>
    <mergeCell ref="C27:C30"/>
    <mergeCell ref="E27:I27"/>
    <mergeCell ref="K27:O27"/>
    <mergeCell ref="Q22:U22"/>
    <mergeCell ref="E23:I23"/>
    <mergeCell ref="K23:O23"/>
    <mergeCell ref="E24:I24"/>
    <mergeCell ref="K24:O24"/>
    <mergeCell ref="E25:I25"/>
    <mergeCell ref="K25:O25"/>
    <mergeCell ref="E20:I20"/>
    <mergeCell ref="K20:O20"/>
    <mergeCell ref="E21:I21"/>
    <mergeCell ref="K21:O21"/>
    <mergeCell ref="B22:C25"/>
    <mergeCell ref="E22:I22"/>
    <mergeCell ref="K22:O22"/>
    <mergeCell ref="E16:I16"/>
    <mergeCell ref="K16:P16"/>
    <mergeCell ref="B17:C20"/>
    <mergeCell ref="E17:I17"/>
    <mergeCell ref="K17:O17"/>
    <mergeCell ref="E19:I19"/>
    <mergeCell ref="K19:O19"/>
    <mergeCell ref="B2:D4"/>
    <mergeCell ref="E2:I2"/>
    <mergeCell ref="K2:O2"/>
    <mergeCell ref="I3:I4"/>
    <mergeCell ref="O3:O4"/>
    <mergeCell ref="Q4:U4"/>
    <mergeCell ref="E5:I5"/>
    <mergeCell ref="K5:O5"/>
    <mergeCell ref="B6:C9"/>
    <mergeCell ref="E6:I6"/>
    <mergeCell ref="K6:O6"/>
    <mergeCell ref="Q6:U6"/>
    <mergeCell ref="E7:I7"/>
    <mergeCell ref="K7:O7"/>
    <mergeCell ref="E8:I8"/>
    <mergeCell ref="K8:O8"/>
    <mergeCell ref="E9:I9"/>
    <mergeCell ref="K9:O9"/>
    <mergeCell ref="E10:I10"/>
    <mergeCell ref="K10:O10"/>
    <mergeCell ref="B11:C15"/>
    <mergeCell ref="E11:I11"/>
    <mergeCell ref="K11:O11"/>
    <mergeCell ref="E15:I15"/>
    <mergeCell ref="K15:O15"/>
    <mergeCell ref="Q17:U17"/>
    <mergeCell ref="E18:I18"/>
    <mergeCell ref="K18:O18"/>
    <mergeCell ref="Q11:U11"/>
    <mergeCell ref="E12:I12"/>
    <mergeCell ref="K12:O12"/>
    <mergeCell ref="E13:I13"/>
    <mergeCell ref="K13:O13"/>
    <mergeCell ref="E14:I14"/>
    <mergeCell ref="K14:O14"/>
  </mergeCells>
  <phoneticPr fontId="11" type="noConversion"/>
  <conditionalFormatting sqref="E3">
    <cfRule type="expression" dxfId="107" priority="22">
      <formula>$E$11 &gt; 12</formula>
    </cfRule>
    <cfRule type="expression" dxfId="106" priority="31">
      <formula>$E$11&lt;7</formula>
    </cfRule>
    <cfRule type="expression" dxfId="105" priority="29">
      <formula>$E$11 &gt;6</formula>
    </cfRule>
  </conditionalFormatting>
  <conditionalFormatting sqref="E4">
    <cfRule type="expression" dxfId="104" priority="26">
      <formula>$E$43 &gt; 11</formula>
    </cfRule>
    <cfRule type="expression" dxfId="103" priority="38">
      <formula>$E$43&lt;7</formula>
    </cfRule>
    <cfRule type="expression" dxfId="102" priority="37">
      <formula>$E$43 &gt;6</formula>
    </cfRule>
  </conditionalFormatting>
  <conditionalFormatting sqref="F3">
    <cfRule type="expression" dxfId="101" priority="23">
      <formula>$E$17 &gt; 12</formula>
    </cfRule>
    <cfRule type="expression" dxfId="100" priority="33">
      <formula>$E$17&lt;7</formula>
    </cfRule>
    <cfRule type="expression" dxfId="99" priority="32">
      <formula>$E$17 &gt;6</formula>
    </cfRule>
  </conditionalFormatting>
  <conditionalFormatting sqref="F4">
    <cfRule type="expression" dxfId="98" priority="27" stopIfTrue="1">
      <formula>$E$6 &gt; 11</formula>
    </cfRule>
    <cfRule type="expression" dxfId="97" priority="40" stopIfTrue="1">
      <formula>$E$6&lt;7</formula>
    </cfRule>
    <cfRule type="expression" dxfId="96" priority="39" stopIfTrue="1">
      <formula>$E$6 &gt;6</formula>
    </cfRule>
  </conditionalFormatting>
  <conditionalFormatting sqref="G3">
    <cfRule type="expression" dxfId="95" priority="24">
      <formula>$E$32 &gt; 12</formula>
    </cfRule>
    <cfRule type="expression" dxfId="94" priority="34">
      <formula>$E$32&lt;7</formula>
    </cfRule>
    <cfRule type="expression" dxfId="93" priority="30">
      <formula>$E$32 &gt;6</formula>
    </cfRule>
  </conditionalFormatting>
  <conditionalFormatting sqref="G4">
    <cfRule type="expression" dxfId="92" priority="42">
      <formula>$E$22 &lt;7</formula>
    </cfRule>
    <cfRule type="expression" dxfId="91" priority="41" stopIfTrue="1">
      <formula>$E$22 &gt;6</formula>
    </cfRule>
    <cfRule type="expression" dxfId="90" priority="28" stopIfTrue="1">
      <formula>$E$22 &gt; 11</formula>
    </cfRule>
  </conditionalFormatting>
  <conditionalFormatting sqref="H3">
    <cfRule type="expression" dxfId="89" priority="25">
      <formula>$E$38 &gt; 12</formula>
    </cfRule>
    <cfRule type="expression" dxfId="88" priority="36">
      <formula>$E$38&lt;7</formula>
    </cfRule>
    <cfRule type="expression" dxfId="87" priority="35">
      <formula>$E$38 &gt;6</formula>
    </cfRule>
  </conditionalFormatting>
  <conditionalFormatting sqref="H4">
    <cfRule type="expression" dxfId="86" priority="48">
      <formula>$E$27&lt;7</formula>
    </cfRule>
    <cfRule type="expression" dxfId="85" priority="46">
      <formula>$E$27 &gt; 11</formula>
    </cfRule>
    <cfRule type="expression" dxfId="84" priority="47">
      <formula>$E$27 &gt;6</formula>
    </cfRule>
  </conditionalFormatting>
  <conditionalFormatting sqref="I3:I4">
    <cfRule type="cellIs" dxfId="83" priority="43" operator="lessThanOrEqual">
      <formula>60</formula>
    </cfRule>
    <cfRule type="cellIs" dxfId="82" priority="44" operator="between">
      <formula>61</formula>
      <formula>99</formula>
    </cfRule>
    <cfRule type="cellIs" dxfId="81" priority="45" operator="equal">
      <formula>100</formula>
    </cfRule>
  </conditionalFormatting>
  <conditionalFormatting sqref="K3">
    <cfRule type="expression" dxfId="80" priority="4">
      <formula>$K$11 &gt; 12</formula>
    </cfRule>
    <cfRule type="expression" dxfId="79" priority="11">
      <formula>$K$11&lt;7</formula>
    </cfRule>
    <cfRule type="expression" dxfId="78" priority="9">
      <formula>$K$11 &gt;6</formula>
    </cfRule>
  </conditionalFormatting>
  <conditionalFormatting sqref="K4">
    <cfRule type="expression" dxfId="77" priority="18">
      <formula>$K$43&lt;7</formula>
    </cfRule>
    <cfRule type="expression" dxfId="76" priority="17">
      <formula>$K$43 &gt;6</formula>
    </cfRule>
    <cfRule type="expression" dxfId="75" priority="8">
      <formula>$K$43 &gt; 11</formula>
    </cfRule>
  </conditionalFormatting>
  <conditionalFormatting sqref="L3">
    <cfRule type="expression" dxfId="74" priority="13">
      <formula>$K$17&lt;7</formula>
    </cfRule>
    <cfRule type="expression" dxfId="73" priority="5">
      <formula>$K$17 &gt; 12</formula>
    </cfRule>
    <cfRule type="expression" dxfId="72" priority="12">
      <formula>$K$17 &gt;6</formula>
    </cfRule>
  </conditionalFormatting>
  <conditionalFormatting sqref="L4">
    <cfRule type="expression" dxfId="71" priority="2">
      <formula>$K$6 &gt;6</formula>
    </cfRule>
    <cfRule type="expression" dxfId="70" priority="3">
      <formula>$K$6&lt;7</formula>
    </cfRule>
    <cfRule type="expression" dxfId="69" priority="1">
      <formula>$K$6 &gt; 11</formula>
    </cfRule>
  </conditionalFormatting>
  <conditionalFormatting sqref="M3">
    <cfRule type="expression" dxfId="68" priority="6">
      <formula>$K$32 &gt; 12</formula>
    </cfRule>
    <cfRule type="expression" dxfId="67" priority="14">
      <formula>$K$32&lt;7</formula>
    </cfRule>
    <cfRule type="expression" dxfId="66" priority="10">
      <formula>$K$32 &gt;6</formula>
    </cfRule>
  </conditionalFormatting>
  <conditionalFormatting sqref="M4">
    <cfRule type="expression" dxfId="65" priority="52" stopIfTrue="1">
      <formula>$K$22 &gt; 11</formula>
    </cfRule>
    <cfRule type="expression" dxfId="64" priority="53" stopIfTrue="1">
      <formula>$K$22 &gt;6</formula>
    </cfRule>
    <cfRule type="expression" dxfId="63" priority="54" stopIfTrue="1">
      <formula>$K$22 &lt;7</formula>
    </cfRule>
  </conditionalFormatting>
  <conditionalFormatting sqref="N3">
    <cfRule type="expression" dxfId="62" priority="16">
      <formula>$K$38&lt;7</formula>
    </cfRule>
    <cfRule type="expression" dxfId="61" priority="15">
      <formula>$K$38 &gt;6</formula>
    </cfRule>
    <cfRule type="expression" dxfId="60" priority="7">
      <formula>$K$38 &gt; 12</formula>
    </cfRule>
  </conditionalFormatting>
  <conditionalFormatting sqref="N4">
    <cfRule type="expression" dxfId="59" priority="49">
      <formula>$K$27 &gt; 11</formula>
    </cfRule>
    <cfRule type="expression" dxfId="58" priority="50">
      <formula>$K$27 &gt;6</formula>
    </cfRule>
    <cfRule type="expression" dxfId="57" priority="51">
      <formula>$K$27&lt;7</formula>
    </cfRule>
  </conditionalFormatting>
  <conditionalFormatting sqref="O3:O4">
    <cfRule type="cellIs" dxfId="56" priority="19" operator="lessThanOrEqual">
      <formula>60</formula>
    </cfRule>
    <cfRule type="cellIs" dxfId="55" priority="21" operator="equal">
      <formula>100</formula>
    </cfRule>
    <cfRule type="cellIs" dxfId="54" priority="20" operator="between">
      <formula>61</formula>
      <formula>99</formula>
    </cfRule>
  </conditionalFormatting>
  <dataValidations count="1">
    <dataValidation type="list" allowBlank="1" sqref="E33:E36 E7:E9 E23:E31 K33:K36 K27:K30 K39:K41 K44:K46 E44:E46 E12:E15 E18:E21 E39:E41 K23:K25 K18:K20 K12:K15 K7:K9" xr:uid="{F806F451-C1CB-4C47-932C-0D9AA3C1FF6D}">
      <formula1>"Yes,No"</formula1>
    </dataValidation>
  </dataValidations>
  <pageMargins left="0.25" right="0.25" top="0.75" bottom="0.75" header="0.3" footer="0.3"/>
  <pageSetup scale="3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outlinePr summaryBelow="0" summaryRight="0"/>
    <pageSetUpPr fitToPage="1"/>
  </sheetPr>
  <dimension ref="A1:CO1007"/>
  <sheetViews>
    <sheetView zoomScale="109" zoomScaleNormal="90" workbookViewId="0">
      <pane xSplit="4" ySplit="5" topLeftCell="E6" activePane="bottomRight" state="frozen"/>
      <selection pane="topRight" activeCell="C1" sqref="C1"/>
      <selection pane="bottomLeft" activeCell="A5" sqref="A5"/>
      <selection pane="bottomRight" activeCell="E18" sqref="E18:I18"/>
    </sheetView>
  </sheetViews>
  <sheetFormatPr defaultColWidth="14.44140625" defaultRowHeight="15" customHeight="1" x14ac:dyDescent="0.35"/>
  <cols>
    <col min="1" max="1" width="2.33203125" style="3" customWidth="1"/>
    <col min="2" max="2" width="6.44140625" style="3" customWidth="1"/>
    <col min="3" max="3" width="7.21875" style="3" customWidth="1"/>
    <col min="4" max="4" width="73.6640625" style="4" customWidth="1"/>
    <col min="5" max="5" width="11.33203125" customWidth="1"/>
    <col min="6" max="6" width="13.44140625" customWidth="1"/>
    <col min="7" max="7" width="11.21875" customWidth="1"/>
    <col min="8" max="8" width="11.44140625" customWidth="1"/>
    <col min="9" max="9" width="15.33203125" customWidth="1"/>
    <col min="10" max="10" width="12.33203125" style="6" hidden="1" customWidth="1"/>
    <col min="11" max="11" width="11.33203125" customWidth="1"/>
    <col min="12" max="12" width="12.44140625" customWidth="1"/>
    <col min="13" max="13" width="11.21875" customWidth="1"/>
    <col min="14" max="14" width="11.44140625" customWidth="1"/>
    <col min="15" max="15" width="15.33203125" customWidth="1"/>
    <col min="16" max="16" width="14.21875" style="6" hidden="1" customWidth="1"/>
    <col min="17" max="17" width="27.21875" style="3" customWidth="1"/>
    <col min="18" max="18" width="29.6640625" style="4" customWidth="1"/>
    <col min="19" max="19" width="26.6640625" style="4" customWidth="1"/>
    <col min="20" max="20" width="18.77734375" style="4" customWidth="1"/>
    <col min="21" max="21" width="18.33203125" style="4" customWidth="1"/>
    <col min="22" max="16384" width="14.44140625" style="3"/>
  </cols>
  <sheetData>
    <row r="1" spans="1:93" s="37" customFormat="1" ht="15" customHeight="1" thickBot="1" x14ac:dyDescent="0.4">
      <c r="E1" s="34"/>
      <c r="F1" s="34"/>
      <c r="G1" s="34"/>
      <c r="H1" s="34"/>
      <c r="I1" s="34"/>
      <c r="J1" s="39"/>
      <c r="K1" s="34"/>
      <c r="L1" s="34"/>
      <c r="M1" s="34"/>
      <c r="N1" s="34"/>
      <c r="O1" s="34"/>
      <c r="P1" s="39"/>
      <c r="R1" s="40"/>
      <c r="S1" s="40"/>
      <c r="T1" s="40"/>
      <c r="U1" s="40"/>
    </row>
    <row r="2" spans="1:93" ht="43.05" customHeight="1" x14ac:dyDescent="0.35">
      <c r="A2" s="37"/>
      <c r="B2" s="90" t="s">
        <v>6</v>
      </c>
      <c r="C2" s="91"/>
      <c r="D2" s="92"/>
      <c r="E2" s="99" t="s">
        <v>113</v>
      </c>
      <c r="F2" s="100"/>
      <c r="G2" s="100"/>
      <c r="H2" s="100"/>
      <c r="I2" s="101"/>
      <c r="J2" s="30"/>
      <c r="K2" s="102" t="s">
        <v>164</v>
      </c>
      <c r="L2" s="103"/>
      <c r="M2" s="103"/>
      <c r="N2" s="103"/>
      <c r="O2" s="104"/>
      <c r="Q2" s="37"/>
      <c r="R2" s="40"/>
      <c r="S2" s="40"/>
      <c r="T2" s="40"/>
      <c r="U2" s="40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</row>
    <row r="3" spans="1:93" ht="56.55" customHeight="1" thickBot="1" x14ac:dyDescent="0.45">
      <c r="A3" s="37"/>
      <c r="B3" s="93"/>
      <c r="C3" s="94"/>
      <c r="D3" s="95"/>
      <c r="E3" s="28" t="s">
        <v>94</v>
      </c>
      <c r="F3" s="9" t="s">
        <v>95</v>
      </c>
      <c r="G3" s="9" t="s">
        <v>96</v>
      </c>
      <c r="H3" s="9" t="s">
        <v>97</v>
      </c>
      <c r="I3" s="105">
        <f>SUM(E6,E17,E27,E32,E38)</f>
      </c>
      <c r="K3" s="28" t="s">
        <v>104</v>
      </c>
      <c r="L3" s="9" t="s">
        <v>106</v>
      </c>
      <c r="M3" s="9" t="s">
        <v>96</v>
      </c>
      <c r="N3" s="9" t="s">
        <v>97</v>
      </c>
      <c r="O3" s="105">
        <f>SUM(K6,K17,K27,K32,K38)</f>
      </c>
      <c r="Q3" s="41"/>
      <c r="R3" s="41"/>
      <c r="S3" s="41"/>
      <c r="T3" s="41"/>
      <c r="U3" s="41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</row>
    <row r="4" spans="1:93" ht="56.55" customHeight="1" thickTop="1" thickBot="1" x14ac:dyDescent="0.55000000000000004">
      <c r="A4" s="37"/>
      <c r="B4" s="96"/>
      <c r="C4" s="97"/>
      <c r="D4" s="98"/>
      <c r="E4" s="29" t="s">
        <v>35</v>
      </c>
      <c r="F4" s="26" t="s">
        <v>100</v>
      </c>
      <c r="G4" s="26" t="s">
        <v>99</v>
      </c>
      <c r="H4" s="26" t="s">
        <v>98</v>
      </c>
      <c r="I4" s="106"/>
      <c r="J4" s="27"/>
      <c r="K4" s="29" t="s">
        <v>35</v>
      </c>
      <c r="L4" s="26" t="s">
        <v>78</v>
      </c>
      <c r="M4" s="26" t="s">
        <v>99</v>
      </c>
      <c r="N4" s="26" t="s">
        <v>98</v>
      </c>
      <c r="O4" s="106"/>
      <c r="Q4" s="124"/>
      <c r="R4" s="124"/>
      <c r="S4" s="124"/>
      <c r="T4" s="124"/>
      <c r="U4" s="124"/>
      <c r="V4" s="37"/>
      <c r="W4" s="42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</row>
    <row r="5" spans="1:93" s="13" customFormat="1" ht="28.05" customHeight="1" x14ac:dyDescent="0.4">
      <c r="A5" s="38"/>
      <c r="C5" s="22"/>
      <c r="D5" s="10"/>
      <c r="E5" s="108"/>
      <c r="F5" s="109"/>
      <c r="G5" s="109"/>
      <c r="H5" s="109"/>
      <c r="I5" s="110"/>
      <c r="J5" s="20"/>
      <c r="K5" s="108"/>
      <c r="L5" s="109"/>
      <c r="M5" s="109"/>
      <c r="N5" s="109"/>
      <c r="O5" s="110"/>
      <c r="P5" s="20"/>
      <c r="Q5" s="11" t="s">
        <v>148</v>
      </c>
      <c r="R5" s="12" t="s">
        <v>153</v>
      </c>
      <c r="S5" s="12" t="s">
        <v>154</v>
      </c>
      <c r="T5" s="12" t="s">
        <v>168</v>
      </c>
      <c r="U5" s="12" t="s">
        <v>155</v>
      </c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</row>
    <row r="6" spans="1:93" s="13" customFormat="1" ht="19.05" customHeight="1" x14ac:dyDescent="0.25">
      <c r="A6" s="38"/>
      <c r="B6" s="138" t="s">
        <v>90</v>
      </c>
      <c r="C6" s="138"/>
      <c r="D6" s="24" t="s">
        <v>101</v>
      </c>
      <c r="E6" s="86">
        <f>SUM(J7:J9)</f>
      </c>
      <c r="F6" s="87"/>
      <c r="G6" s="87"/>
      <c r="H6" s="87"/>
      <c r="I6" s="88"/>
      <c r="J6" s="20"/>
      <c r="K6" s="86">
        <f>SUM(P7:P9)</f>
      </c>
      <c r="L6" s="87"/>
      <c r="M6" s="87"/>
      <c r="N6" s="87"/>
      <c r="O6" s="88"/>
      <c r="P6" s="20"/>
      <c r="Q6" s="86"/>
      <c r="R6" s="87"/>
      <c r="S6" s="87"/>
      <c r="T6" s="87"/>
      <c r="U6" s="8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</row>
    <row r="7" spans="1:93" s="13" customFormat="1" ht="17.399999999999999" x14ac:dyDescent="0.25">
      <c r="A7" s="38"/>
      <c r="B7" s="138"/>
      <c r="C7" s="138"/>
      <c r="D7" s="2" t="s">
        <v>63</v>
      </c>
      <c r="E7" s="173" t="s">
        <v>7</v>
      </c>
      <c r="F7" s="87"/>
      <c r="G7" s="87"/>
      <c r="H7" s="87"/>
      <c r="I7" s="88"/>
      <c r="J7" s="21">
        <f t="shared" ref="J7:J9" si="0">IF(E7 = "Yes",4,0)</f>
        <v>4</v>
      </c>
      <c r="K7" s="173" t="s">
        <v>7</v>
      </c>
      <c r="L7" s="87"/>
      <c r="M7" s="87"/>
      <c r="N7" s="87"/>
      <c r="O7" s="88"/>
      <c r="P7" s="21">
        <f t="shared" ref="P7:P9" si="1">IF(K7 = "Yes",4,0)</f>
        <v>4</v>
      </c>
      <c r="Q7" s="14"/>
      <c r="R7" s="15"/>
      <c r="S7" s="15"/>
      <c r="T7" s="15"/>
      <c r="U7" s="15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</row>
    <row r="8" spans="1:93" s="13" customFormat="1" ht="17.399999999999999" x14ac:dyDescent="0.25">
      <c r="A8" s="38"/>
      <c r="B8" s="138"/>
      <c r="C8" s="138"/>
      <c r="D8" s="2" t="s">
        <v>64</v>
      </c>
      <c r="E8" s="173" t="s">
        <v>7</v>
      </c>
      <c r="F8" s="87"/>
      <c r="G8" s="87"/>
      <c r="H8" s="87"/>
      <c r="I8" s="88"/>
      <c r="J8" s="21">
        <f t="shared" si="0"/>
        <v>4</v>
      </c>
      <c r="K8" s="173" t="s">
        <v>7</v>
      </c>
      <c r="L8" s="87"/>
      <c r="M8" s="87"/>
      <c r="N8" s="87"/>
      <c r="O8" s="88"/>
      <c r="P8" s="21">
        <f t="shared" si="1"/>
        <v>4</v>
      </c>
      <c r="Q8" s="14"/>
      <c r="R8" s="15"/>
      <c r="S8" s="15"/>
      <c r="T8" s="15"/>
      <c r="U8" s="15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</row>
    <row r="9" spans="1:93" s="13" customFormat="1" ht="17.399999999999999" x14ac:dyDescent="0.25">
      <c r="A9" s="38"/>
      <c r="B9" s="138"/>
      <c r="C9" s="138"/>
      <c r="D9" s="2" t="s">
        <v>9</v>
      </c>
      <c r="E9" s="173" t="s">
        <v>7</v>
      </c>
      <c r="F9" s="87"/>
      <c r="G9" s="87"/>
      <c r="H9" s="87"/>
      <c r="I9" s="88"/>
      <c r="J9" s="21">
        <f t="shared" si="0"/>
        <v>4</v>
      </c>
      <c r="K9" s="173" t="s">
        <v>7</v>
      </c>
      <c r="L9" s="87"/>
      <c r="M9" s="87"/>
      <c r="N9" s="87"/>
      <c r="O9" s="88"/>
      <c r="P9" s="21">
        <f t="shared" si="1"/>
        <v>4</v>
      </c>
      <c r="Q9" s="14"/>
      <c r="R9" s="15"/>
      <c r="S9" s="15"/>
      <c r="T9" s="15"/>
      <c r="U9" s="15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</row>
    <row r="10" spans="1:93" s="13" customFormat="1" ht="17.399999999999999" x14ac:dyDescent="0.4">
      <c r="A10" s="38"/>
      <c r="B10" s="50"/>
      <c r="C10" s="51"/>
      <c r="D10" s="10"/>
      <c r="E10" s="78"/>
      <c r="F10" s="78"/>
      <c r="G10" s="78"/>
      <c r="H10" s="78"/>
      <c r="I10" s="78"/>
      <c r="J10" s="20"/>
      <c r="K10" s="79"/>
      <c r="L10" s="79"/>
      <c r="M10" s="79"/>
      <c r="N10" s="79"/>
      <c r="O10" s="79"/>
      <c r="P10" s="20"/>
      <c r="Q10" s="14"/>
      <c r="R10" s="15"/>
      <c r="S10" s="15"/>
      <c r="T10" s="15"/>
      <c r="U10" s="15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</row>
    <row r="11" spans="1:93" s="13" customFormat="1" ht="19.05" customHeight="1" x14ac:dyDescent="0.25">
      <c r="A11" s="149"/>
      <c r="B11" s="174" t="s">
        <v>91</v>
      </c>
      <c r="C11" s="175"/>
      <c r="D11" s="152" t="s">
        <v>102</v>
      </c>
      <c r="E11" s="153">
        <f>SUM(J12:J15)</f>
        <v>13</v>
      </c>
      <c r="F11" s="154"/>
      <c r="G11" s="154"/>
      <c r="H11" s="154"/>
      <c r="I11" s="155"/>
      <c r="J11" s="156"/>
      <c r="K11" s="153">
        <f>SUM(P12:P15)</f>
        <v>13</v>
      </c>
      <c r="L11" s="154"/>
      <c r="M11" s="154"/>
      <c r="N11" s="154"/>
      <c r="O11" s="155"/>
      <c r="P11" s="156"/>
      <c r="Q11" s="153"/>
      <c r="R11" s="154"/>
      <c r="S11" s="154"/>
      <c r="T11" s="154"/>
      <c r="U11" s="155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</row>
    <row r="12" spans="1:93" s="13" customFormat="1" ht="17.399999999999999" x14ac:dyDescent="0.25">
      <c r="A12" s="149"/>
      <c r="B12" s="176"/>
      <c r="C12" s="177"/>
      <c r="D12" s="178" t="s">
        <v>66</v>
      </c>
      <c r="E12" s="160" t="s">
        <v>7</v>
      </c>
      <c r="F12" s="154"/>
      <c r="G12" s="154"/>
      <c r="H12" s="154"/>
      <c r="I12" s="155"/>
      <c r="J12" s="161">
        <f>IF(E12 = "Yes",3,0)</f>
        <v>3</v>
      </c>
      <c r="K12" s="160" t="s">
        <v>7</v>
      </c>
      <c r="L12" s="154"/>
      <c r="M12" s="154"/>
      <c r="N12" s="154"/>
      <c r="O12" s="155"/>
      <c r="P12" s="161">
        <f>IF(K12 = "Yes",3,0)</f>
        <v>3</v>
      </c>
      <c r="Q12" s="162"/>
      <c r="R12" s="163"/>
      <c r="S12" s="163"/>
      <c r="T12" s="163"/>
      <c r="U12" s="163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</row>
    <row r="13" spans="1:93" s="13" customFormat="1" ht="33" customHeight="1" x14ac:dyDescent="0.25">
      <c r="A13" s="149"/>
      <c r="B13" s="176"/>
      <c r="C13" s="177"/>
      <c r="D13" s="179" t="s">
        <v>80</v>
      </c>
      <c r="E13" s="160" t="s">
        <v>7</v>
      </c>
      <c r="F13" s="154"/>
      <c r="G13" s="154"/>
      <c r="H13" s="154"/>
      <c r="I13" s="155"/>
      <c r="J13" s="161">
        <f>IF(E13 = "Yes",1,0)</f>
        <v>1</v>
      </c>
      <c r="K13" s="160" t="s">
        <v>7</v>
      </c>
      <c r="L13" s="154"/>
      <c r="M13" s="154"/>
      <c r="N13" s="154"/>
      <c r="O13" s="155"/>
      <c r="P13" s="161">
        <f>IF(K13 = "Yes",1,0)</f>
        <v>1</v>
      </c>
      <c r="Q13" s="162"/>
      <c r="R13" s="163"/>
      <c r="S13" s="163"/>
      <c r="T13" s="163"/>
      <c r="U13" s="163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</row>
    <row r="14" spans="1:93" s="13" customFormat="1" ht="17.399999999999999" x14ac:dyDescent="0.25">
      <c r="A14" s="149"/>
      <c r="B14" s="176"/>
      <c r="C14" s="177"/>
      <c r="D14" s="179" t="s">
        <v>67</v>
      </c>
      <c r="E14" s="160" t="s">
        <v>7</v>
      </c>
      <c r="F14" s="154"/>
      <c r="G14" s="154"/>
      <c r="H14" s="154"/>
      <c r="I14" s="155"/>
      <c r="J14" s="161">
        <f t="shared" ref="J14" si="2">IF(E14 = "Yes",4,0)</f>
        <v>4</v>
      </c>
      <c r="K14" s="160" t="s">
        <v>7</v>
      </c>
      <c r="L14" s="154"/>
      <c r="M14" s="154"/>
      <c r="N14" s="154"/>
      <c r="O14" s="155"/>
      <c r="P14" s="161">
        <f t="shared" ref="P14" si="3">IF(K14 = "Yes",4,0)</f>
        <v>4</v>
      </c>
      <c r="Q14" s="162"/>
      <c r="R14" s="163"/>
      <c r="S14" s="163"/>
      <c r="T14" s="163"/>
      <c r="U14" s="163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</row>
    <row r="15" spans="1:93" s="13" customFormat="1" ht="17.399999999999999" x14ac:dyDescent="0.25">
      <c r="A15" s="149"/>
      <c r="B15" s="180"/>
      <c r="C15" s="181"/>
      <c r="D15" s="178" t="s">
        <v>68</v>
      </c>
      <c r="E15" s="160" t="s">
        <v>7</v>
      </c>
      <c r="F15" s="154"/>
      <c r="G15" s="154"/>
      <c r="H15" s="154"/>
      <c r="I15" s="155"/>
      <c r="J15" s="161">
        <f>IF(E15 = "Yes",5,0)</f>
        <v>5</v>
      </c>
      <c r="K15" s="160" t="s">
        <v>7</v>
      </c>
      <c r="L15" s="154"/>
      <c r="M15" s="154"/>
      <c r="N15" s="154"/>
      <c r="O15" s="155"/>
      <c r="P15" s="161">
        <f>IF(K15 = "Yes",5,0)</f>
        <v>5</v>
      </c>
      <c r="Q15" s="162"/>
      <c r="R15" s="163"/>
      <c r="S15" s="163"/>
      <c r="T15" s="163"/>
      <c r="U15" s="163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</row>
    <row r="16" spans="1:93" s="13" customFormat="1" ht="17.399999999999999" x14ac:dyDescent="0.4">
      <c r="A16" s="38"/>
      <c r="B16" s="50"/>
      <c r="C16" s="52"/>
      <c r="D16" s="18"/>
      <c r="E16" s="119"/>
      <c r="F16" s="119"/>
      <c r="G16" s="119"/>
      <c r="H16" s="119"/>
      <c r="I16" s="119"/>
      <c r="J16" s="20"/>
      <c r="K16" s="120"/>
      <c r="L16" s="120"/>
      <c r="M16" s="120"/>
      <c r="N16" s="120"/>
      <c r="O16" s="120"/>
      <c r="P16" s="120"/>
      <c r="Q16" s="14"/>
      <c r="R16" s="15"/>
      <c r="S16" s="15"/>
      <c r="T16" s="15"/>
      <c r="U16" s="15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</row>
    <row r="17" spans="1:93" s="13" customFormat="1" ht="19.05" customHeight="1" x14ac:dyDescent="0.25">
      <c r="A17" s="38"/>
      <c r="B17" s="125" t="s">
        <v>90</v>
      </c>
      <c r="C17" s="126"/>
      <c r="D17" s="24" t="s">
        <v>107</v>
      </c>
      <c r="E17" s="86">
        <f>SUM(J18:J20)</f>
        <v>13</v>
      </c>
      <c r="F17" s="87"/>
      <c r="G17" s="87"/>
      <c r="H17" s="87"/>
      <c r="I17" s="88"/>
      <c r="J17" s="20"/>
      <c r="K17" s="86">
        <f>SUM(P18:P20)</f>
        <v>13</v>
      </c>
      <c r="L17" s="87"/>
      <c r="M17" s="87"/>
      <c r="N17" s="87"/>
      <c r="O17" s="88"/>
      <c r="P17" s="20"/>
      <c r="Q17" s="86"/>
      <c r="R17" s="87"/>
      <c r="S17" s="87"/>
      <c r="T17" s="87"/>
      <c r="U17" s="8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</row>
    <row r="18" spans="1:93" s="13" customFormat="1" ht="17.399999999999999" x14ac:dyDescent="0.25">
      <c r="A18" s="38"/>
      <c r="B18" s="127"/>
      <c r="C18" s="128"/>
      <c r="D18" s="2" t="s">
        <v>81</v>
      </c>
      <c r="E18" s="173" t="s">
        <v>7</v>
      </c>
      <c r="F18" s="87"/>
      <c r="G18" s="87"/>
      <c r="H18" s="87"/>
      <c r="I18" s="88"/>
      <c r="J18" s="21">
        <f t="shared" ref="J18:J19" si="4">IF(E18 = "Yes",4,0)</f>
        <v>4</v>
      </c>
      <c r="K18" s="173" t="s">
        <v>7</v>
      </c>
      <c r="L18" s="87"/>
      <c r="M18" s="87"/>
      <c r="N18" s="87"/>
      <c r="O18" s="88"/>
      <c r="P18" s="21">
        <f t="shared" ref="P18:P19" si="5">IF(K18 = "Yes",4,0)</f>
        <v>4</v>
      </c>
      <c r="Q18" s="14"/>
      <c r="R18" s="15"/>
      <c r="S18" s="15"/>
      <c r="T18" s="15"/>
      <c r="U18" s="15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</row>
    <row r="19" spans="1:93" s="13" customFormat="1" ht="30" x14ac:dyDescent="0.25">
      <c r="A19" s="38"/>
      <c r="B19" s="127"/>
      <c r="C19" s="128"/>
      <c r="D19" s="2" t="s">
        <v>50</v>
      </c>
      <c r="E19" s="173" t="s">
        <v>7</v>
      </c>
      <c r="F19" s="87"/>
      <c r="G19" s="87"/>
      <c r="H19" s="87"/>
      <c r="I19" s="88"/>
      <c r="J19" s="21">
        <f t="shared" si="4"/>
        <v>4</v>
      </c>
      <c r="K19" s="173" t="s">
        <v>7</v>
      </c>
      <c r="L19" s="87"/>
      <c r="M19" s="87"/>
      <c r="N19" s="87"/>
      <c r="O19" s="88"/>
      <c r="P19" s="21">
        <f t="shared" si="5"/>
        <v>4</v>
      </c>
      <c r="Q19" s="14"/>
      <c r="R19" s="15"/>
      <c r="S19" s="15"/>
      <c r="T19" s="15"/>
      <c r="U19" s="15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</row>
    <row r="20" spans="1:93" s="13" customFormat="1" ht="17.399999999999999" x14ac:dyDescent="0.25">
      <c r="A20" s="38"/>
      <c r="B20" s="129"/>
      <c r="C20" s="130"/>
      <c r="D20" s="2" t="s">
        <v>77</v>
      </c>
      <c r="E20" s="173" t="s">
        <v>7</v>
      </c>
      <c r="F20" s="87"/>
      <c r="G20" s="87"/>
      <c r="H20" s="87"/>
      <c r="I20" s="88"/>
      <c r="J20" s="21">
        <f>IF(E20 = "Yes",5,0)</f>
        <v>5</v>
      </c>
      <c r="K20" s="173" t="s">
        <v>7</v>
      </c>
      <c r="L20" s="87"/>
      <c r="M20" s="87"/>
      <c r="N20" s="87"/>
      <c r="O20" s="88"/>
      <c r="P20" s="21">
        <f>IF(K20 = "Yes",5,0)</f>
        <v>5</v>
      </c>
      <c r="Q20" s="14"/>
      <c r="R20" s="15"/>
      <c r="S20" s="15"/>
      <c r="T20" s="15"/>
      <c r="U20" s="15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</row>
    <row r="21" spans="1:93" s="13" customFormat="1" ht="17.399999999999999" x14ac:dyDescent="0.4">
      <c r="A21" s="38"/>
      <c r="B21" s="50"/>
      <c r="C21" s="52"/>
      <c r="D21" s="19"/>
      <c r="E21" s="112"/>
      <c r="F21" s="112"/>
      <c r="G21" s="112"/>
      <c r="H21" s="112"/>
      <c r="I21" s="112"/>
      <c r="J21" s="21"/>
      <c r="K21" s="79"/>
      <c r="L21" s="79"/>
      <c r="M21" s="79"/>
      <c r="N21" s="79"/>
      <c r="O21" s="79"/>
      <c r="P21" s="21"/>
      <c r="Q21" s="14"/>
      <c r="R21" s="15"/>
      <c r="S21" s="15"/>
      <c r="T21" s="15"/>
      <c r="U21" s="15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</row>
    <row r="22" spans="1:93" s="13" customFormat="1" ht="19.05" customHeight="1" x14ac:dyDescent="0.25">
      <c r="A22" s="149"/>
      <c r="B22" s="182" t="s">
        <v>131</v>
      </c>
      <c r="C22" s="183"/>
      <c r="D22" s="152" t="s">
        <v>108</v>
      </c>
      <c r="E22" s="153">
        <f>SUM(J23:J25)</f>
        <v>12</v>
      </c>
      <c r="F22" s="154"/>
      <c r="G22" s="154"/>
      <c r="H22" s="154"/>
      <c r="I22" s="155"/>
      <c r="J22" s="156"/>
      <c r="K22" s="153">
        <f>SUM(P23:P25)</f>
        <v>12</v>
      </c>
      <c r="L22" s="154"/>
      <c r="M22" s="154"/>
      <c r="N22" s="154"/>
      <c r="O22" s="155"/>
      <c r="P22" s="156"/>
      <c r="Q22" s="153"/>
      <c r="R22" s="154"/>
      <c r="S22" s="154"/>
      <c r="T22" s="154"/>
      <c r="U22" s="155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</row>
    <row r="23" spans="1:93" s="13" customFormat="1" ht="17.399999999999999" x14ac:dyDescent="0.25">
      <c r="A23" s="149"/>
      <c r="B23" s="184"/>
      <c r="C23" s="185"/>
      <c r="D23" s="179" t="s">
        <v>69</v>
      </c>
      <c r="E23" s="160" t="s">
        <v>7</v>
      </c>
      <c r="F23" s="154"/>
      <c r="G23" s="154"/>
      <c r="H23" s="154"/>
      <c r="I23" s="155"/>
      <c r="J23" s="161">
        <f t="shared" ref="J23:J25" si="6">IF(E23 = "Yes",4,0)</f>
        <v>4</v>
      </c>
      <c r="K23" s="160" t="s">
        <v>7</v>
      </c>
      <c r="L23" s="154"/>
      <c r="M23" s="154"/>
      <c r="N23" s="154"/>
      <c r="O23" s="155"/>
      <c r="P23" s="161">
        <f t="shared" ref="P23:P25" si="7">IF(K23 = "Yes",4,0)</f>
        <v>4</v>
      </c>
      <c r="Q23" s="162"/>
      <c r="R23" s="163"/>
      <c r="S23" s="163"/>
      <c r="T23" s="163"/>
      <c r="U23" s="163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</row>
    <row r="24" spans="1:93" s="13" customFormat="1" ht="17.399999999999999" x14ac:dyDescent="0.25">
      <c r="A24" s="149"/>
      <c r="B24" s="184"/>
      <c r="C24" s="185"/>
      <c r="D24" s="179" t="s">
        <v>72</v>
      </c>
      <c r="E24" s="160" t="s">
        <v>7</v>
      </c>
      <c r="F24" s="154"/>
      <c r="G24" s="154"/>
      <c r="H24" s="154"/>
      <c r="I24" s="155"/>
      <c r="J24" s="161">
        <f t="shared" si="6"/>
        <v>4</v>
      </c>
      <c r="K24" s="160" t="s">
        <v>7</v>
      </c>
      <c r="L24" s="154"/>
      <c r="M24" s="154"/>
      <c r="N24" s="154"/>
      <c r="O24" s="155"/>
      <c r="P24" s="161">
        <f t="shared" si="7"/>
        <v>4</v>
      </c>
      <c r="Q24" s="162"/>
      <c r="R24" s="163"/>
      <c r="S24" s="163"/>
      <c r="T24" s="163"/>
      <c r="U24" s="163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</row>
    <row r="25" spans="1:93" s="13" customFormat="1" ht="17.399999999999999" x14ac:dyDescent="0.25">
      <c r="A25" s="149"/>
      <c r="B25" s="186"/>
      <c r="C25" s="187"/>
      <c r="D25" s="179" t="s">
        <v>10</v>
      </c>
      <c r="E25" s="160" t="s">
        <v>7</v>
      </c>
      <c r="F25" s="154"/>
      <c r="G25" s="154"/>
      <c r="H25" s="154"/>
      <c r="I25" s="155"/>
      <c r="J25" s="161">
        <f t="shared" si="6"/>
        <v>4</v>
      </c>
      <c r="K25" s="160" t="s">
        <v>7</v>
      </c>
      <c r="L25" s="154"/>
      <c r="M25" s="154"/>
      <c r="N25" s="154"/>
      <c r="O25" s="155"/>
      <c r="P25" s="161">
        <f t="shared" si="7"/>
        <v>4</v>
      </c>
      <c r="Q25" s="162"/>
      <c r="R25" s="163"/>
      <c r="S25" s="163"/>
      <c r="T25" s="163"/>
      <c r="U25" s="163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</row>
    <row r="26" spans="1:93" s="13" customFormat="1" ht="17.399999999999999" x14ac:dyDescent="0.4">
      <c r="A26" s="38"/>
      <c r="C26" s="23"/>
      <c r="D26" s="19"/>
      <c r="E26" s="112"/>
      <c r="F26" s="112"/>
      <c r="G26" s="112"/>
      <c r="H26" s="112"/>
      <c r="I26" s="112"/>
      <c r="J26" s="21"/>
      <c r="K26" s="79"/>
      <c r="L26" s="79"/>
      <c r="M26" s="79"/>
      <c r="N26" s="79"/>
      <c r="O26" s="79"/>
      <c r="P26" s="21"/>
      <c r="Q26" s="14"/>
      <c r="R26" s="15"/>
      <c r="S26" s="15"/>
      <c r="T26" s="15"/>
      <c r="U26" s="15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</row>
    <row r="27" spans="1:93" s="13" customFormat="1" ht="17.399999999999999" x14ac:dyDescent="0.25">
      <c r="A27" s="38"/>
      <c r="B27" s="137" t="s">
        <v>93</v>
      </c>
      <c r="C27" s="138" t="s">
        <v>90</v>
      </c>
      <c r="D27" s="24" t="s">
        <v>109</v>
      </c>
      <c r="E27" s="86">
        <f>SUM(J28:J30)</f>
        <v>12</v>
      </c>
      <c r="F27" s="87"/>
      <c r="G27" s="87"/>
      <c r="H27" s="87"/>
      <c r="I27" s="88"/>
      <c r="J27" s="20"/>
      <c r="K27" s="86">
        <f>SUM(P28:P30)</f>
        <v>12</v>
      </c>
      <c r="L27" s="87"/>
      <c r="M27" s="87"/>
      <c r="N27" s="87"/>
      <c r="O27" s="88"/>
      <c r="P27" s="20"/>
      <c r="Q27" s="86"/>
      <c r="R27" s="87"/>
      <c r="S27" s="87"/>
      <c r="T27" s="87"/>
      <c r="U27" s="8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</row>
    <row r="28" spans="1:93" s="13" customFormat="1" ht="34.799999999999997" x14ac:dyDescent="0.25">
      <c r="A28" s="38"/>
      <c r="B28" s="137"/>
      <c r="C28" s="138"/>
      <c r="D28" s="25" t="s">
        <v>165</v>
      </c>
      <c r="E28" s="173" t="s">
        <v>7</v>
      </c>
      <c r="F28" s="87"/>
      <c r="G28" s="87"/>
      <c r="H28" s="87"/>
      <c r="I28" s="88"/>
      <c r="J28" s="21">
        <f t="shared" ref="J28:J30" si="8">IF(E28 = "Yes",4,0)</f>
        <v>4</v>
      </c>
      <c r="K28" s="173" t="s">
        <v>7</v>
      </c>
      <c r="L28" s="87"/>
      <c r="M28" s="87"/>
      <c r="N28" s="87"/>
      <c r="O28" s="88"/>
      <c r="P28" s="21">
        <f t="shared" ref="P28:P30" si="9">IF(K28 = "Yes",4,0)</f>
        <v>4</v>
      </c>
      <c r="Q28" s="14"/>
      <c r="R28" s="15"/>
      <c r="S28" s="15"/>
      <c r="T28" s="15"/>
      <c r="U28" s="15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</row>
    <row r="29" spans="1:93" s="13" customFormat="1" ht="17.399999999999999" x14ac:dyDescent="0.25">
      <c r="A29" s="38"/>
      <c r="B29" s="137"/>
      <c r="C29" s="138"/>
      <c r="D29" s="25" t="s">
        <v>114</v>
      </c>
      <c r="E29" s="173" t="s">
        <v>7</v>
      </c>
      <c r="F29" s="87"/>
      <c r="G29" s="87"/>
      <c r="H29" s="87"/>
      <c r="I29" s="88"/>
      <c r="J29" s="21">
        <f t="shared" si="8"/>
        <v>4</v>
      </c>
      <c r="K29" s="173" t="s">
        <v>7</v>
      </c>
      <c r="L29" s="87"/>
      <c r="M29" s="87"/>
      <c r="N29" s="87"/>
      <c r="O29" s="88"/>
      <c r="P29" s="21">
        <f t="shared" si="9"/>
        <v>4</v>
      </c>
      <c r="Q29" s="14"/>
      <c r="R29" s="15"/>
      <c r="S29" s="15"/>
      <c r="T29" s="15"/>
      <c r="U29" s="15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</row>
    <row r="30" spans="1:93" s="13" customFormat="1" ht="17.399999999999999" x14ac:dyDescent="0.25">
      <c r="A30" s="38"/>
      <c r="B30" s="137"/>
      <c r="C30" s="138"/>
      <c r="D30" s="25" t="s">
        <v>115</v>
      </c>
      <c r="E30" s="173" t="s">
        <v>7</v>
      </c>
      <c r="F30" s="87"/>
      <c r="G30" s="87"/>
      <c r="H30" s="87"/>
      <c r="I30" s="88"/>
      <c r="J30" s="21">
        <f t="shared" si="8"/>
        <v>4</v>
      </c>
      <c r="K30" s="173" t="s">
        <v>7</v>
      </c>
      <c r="L30" s="87"/>
      <c r="M30" s="87"/>
      <c r="N30" s="87"/>
      <c r="O30" s="88"/>
      <c r="P30" s="21">
        <f t="shared" si="9"/>
        <v>4</v>
      </c>
      <c r="Q30" s="14"/>
      <c r="R30" s="15"/>
      <c r="S30" s="15"/>
      <c r="T30" s="15"/>
      <c r="U30" s="15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</row>
    <row r="31" spans="1:93" s="13" customFormat="1" ht="17.399999999999999" x14ac:dyDescent="0.4">
      <c r="A31" s="38"/>
      <c r="C31" s="23"/>
      <c r="D31" s="19"/>
      <c r="E31" s="112"/>
      <c r="F31" s="112"/>
      <c r="G31" s="112"/>
      <c r="H31" s="112"/>
      <c r="I31" s="112"/>
      <c r="J31" s="21"/>
      <c r="K31" s="79"/>
      <c r="L31" s="79"/>
      <c r="M31" s="79"/>
      <c r="N31" s="79"/>
      <c r="O31" s="79"/>
      <c r="P31" s="21"/>
      <c r="Q31" s="14"/>
      <c r="R31" s="15"/>
      <c r="S31" s="15"/>
      <c r="T31" s="15"/>
      <c r="U31" s="15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</row>
    <row r="32" spans="1:93" s="13" customFormat="1" ht="19.05" customHeight="1" x14ac:dyDescent="0.25">
      <c r="A32" s="38"/>
      <c r="B32" s="137" t="s">
        <v>93</v>
      </c>
      <c r="C32" s="137"/>
      <c r="D32" s="24" t="s">
        <v>110</v>
      </c>
      <c r="E32" s="86">
        <f>SUM(J33:J36)</f>
        <v>13</v>
      </c>
      <c r="F32" s="87"/>
      <c r="G32" s="87"/>
      <c r="H32" s="87"/>
      <c r="I32" s="88"/>
      <c r="J32" s="20"/>
      <c r="K32" s="86">
        <f>SUM(P33:P36)</f>
        <v>13</v>
      </c>
      <c r="L32" s="87"/>
      <c r="M32" s="87"/>
      <c r="N32" s="87"/>
      <c r="O32" s="88"/>
      <c r="P32" s="20"/>
      <c r="Q32" s="86"/>
      <c r="R32" s="87"/>
      <c r="S32" s="87"/>
      <c r="T32" s="87"/>
      <c r="U32" s="8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</row>
    <row r="33" spans="1:93" s="13" customFormat="1" ht="17.399999999999999" x14ac:dyDescent="0.25">
      <c r="A33" s="38"/>
      <c r="B33" s="137"/>
      <c r="C33" s="137"/>
      <c r="D33" s="25" t="s">
        <v>116</v>
      </c>
      <c r="E33" s="173" t="s">
        <v>7</v>
      </c>
      <c r="F33" s="87"/>
      <c r="G33" s="87"/>
      <c r="H33" s="87"/>
      <c r="I33" s="88"/>
      <c r="J33" s="21">
        <f t="shared" ref="J33:J35" si="10">IF(E33 = "Yes",3,0)</f>
        <v>3</v>
      </c>
      <c r="K33" s="173" t="s">
        <v>7</v>
      </c>
      <c r="L33" s="87"/>
      <c r="M33" s="87"/>
      <c r="N33" s="87"/>
      <c r="O33" s="88"/>
      <c r="P33" s="21">
        <f t="shared" ref="P33:P35" si="11">IF(K33 = "Yes",3,0)</f>
        <v>3</v>
      </c>
      <c r="Q33" s="14"/>
      <c r="R33" s="15"/>
      <c r="S33" s="15"/>
      <c r="T33" s="15"/>
      <c r="U33" s="15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</row>
    <row r="34" spans="1:93" s="13" customFormat="1" ht="17.399999999999999" x14ac:dyDescent="0.25">
      <c r="A34" s="38"/>
      <c r="B34" s="137"/>
      <c r="C34" s="137"/>
      <c r="D34" s="1" t="s">
        <v>65</v>
      </c>
      <c r="E34" s="173" t="s">
        <v>7</v>
      </c>
      <c r="F34" s="87"/>
      <c r="G34" s="87"/>
      <c r="H34" s="87"/>
      <c r="I34" s="88"/>
      <c r="J34" s="21">
        <f t="shared" si="10"/>
        <v>3</v>
      </c>
      <c r="K34" s="173" t="s">
        <v>7</v>
      </c>
      <c r="L34" s="87"/>
      <c r="M34" s="87"/>
      <c r="N34" s="87"/>
      <c r="O34" s="88"/>
      <c r="P34" s="21">
        <f t="shared" si="11"/>
        <v>3</v>
      </c>
      <c r="Q34" s="14"/>
      <c r="R34" s="15"/>
      <c r="S34" s="15"/>
      <c r="T34" s="15"/>
      <c r="U34" s="15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</row>
    <row r="35" spans="1:93" s="13" customFormat="1" ht="17.399999999999999" x14ac:dyDescent="0.25">
      <c r="A35" s="38"/>
      <c r="B35" s="137"/>
      <c r="C35" s="137"/>
      <c r="D35" s="1" t="s">
        <v>8</v>
      </c>
      <c r="E35" s="173" t="s">
        <v>7</v>
      </c>
      <c r="F35" s="87"/>
      <c r="G35" s="87"/>
      <c r="H35" s="87"/>
      <c r="I35" s="88"/>
      <c r="J35" s="21">
        <f t="shared" si="10"/>
        <v>3</v>
      </c>
      <c r="K35" s="173" t="s">
        <v>7</v>
      </c>
      <c r="L35" s="87"/>
      <c r="M35" s="87"/>
      <c r="N35" s="87"/>
      <c r="O35" s="88"/>
      <c r="P35" s="21">
        <f t="shared" si="11"/>
        <v>3</v>
      </c>
      <c r="Q35" s="14"/>
      <c r="R35" s="15"/>
      <c r="S35" s="15"/>
      <c r="T35" s="15"/>
      <c r="U35" s="15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</row>
    <row r="36" spans="1:93" s="13" customFormat="1" ht="17.399999999999999" x14ac:dyDescent="0.25">
      <c r="A36" s="38"/>
      <c r="B36" s="137"/>
      <c r="C36" s="137"/>
      <c r="D36" s="1" t="s">
        <v>9</v>
      </c>
      <c r="E36" s="173" t="s">
        <v>7</v>
      </c>
      <c r="F36" s="87"/>
      <c r="G36" s="87"/>
      <c r="H36" s="87"/>
      <c r="I36" s="88"/>
      <c r="J36" s="21">
        <f>IF(E36 = "Yes",4,0)</f>
        <v>4</v>
      </c>
      <c r="K36" s="173" t="s">
        <v>7</v>
      </c>
      <c r="L36" s="87"/>
      <c r="M36" s="87"/>
      <c r="N36" s="87"/>
      <c r="O36" s="88"/>
      <c r="P36" s="21">
        <f>IF(K36 = "Yes",4,0)</f>
        <v>4</v>
      </c>
      <c r="Q36" s="14"/>
      <c r="R36" s="15"/>
      <c r="S36" s="15"/>
      <c r="T36" s="15"/>
      <c r="U36" s="15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</row>
    <row r="37" spans="1:93" s="13" customFormat="1" ht="17.399999999999999" x14ac:dyDescent="0.4">
      <c r="A37" s="38"/>
      <c r="B37" s="50"/>
      <c r="C37" s="52"/>
      <c r="D37" s="120"/>
      <c r="E37" s="120"/>
      <c r="F37" s="120"/>
      <c r="G37" s="120"/>
      <c r="H37" s="120"/>
      <c r="I37" s="120"/>
      <c r="J37" s="20"/>
      <c r="K37" s="120"/>
      <c r="L37" s="120"/>
      <c r="M37" s="120"/>
      <c r="N37" s="120"/>
      <c r="O37" s="120"/>
      <c r="P37" s="120"/>
      <c r="Q37" s="14"/>
      <c r="R37" s="15"/>
      <c r="S37" s="15"/>
      <c r="T37" s="15"/>
      <c r="U37" s="15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</row>
    <row r="38" spans="1:93" s="13" customFormat="1" ht="19.05" customHeight="1" x14ac:dyDescent="0.25">
      <c r="A38" s="38"/>
      <c r="B38" s="137" t="s">
        <v>92</v>
      </c>
      <c r="C38" s="137"/>
      <c r="D38" s="24" t="s">
        <v>111</v>
      </c>
      <c r="E38" s="86">
        <f>SUM(J39:J41)</f>
        <v>13</v>
      </c>
      <c r="F38" s="87"/>
      <c r="G38" s="87"/>
      <c r="H38" s="87"/>
      <c r="I38" s="88"/>
      <c r="J38" s="20"/>
      <c r="K38" s="86">
        <f>SUM(P39:P41)</f>
        <v>13</v>
      </c>
      <c r="L38" s="87"/>
      <c r="M38" s="87"/>
      <c r="N38" s="87"/>
      <c r="O38" s="88"/>
      <c r="P38" s="20"/>
      <c r="Q38" s="86"/>
      <c r="R38" s="87"/>
      <c r="S38" s="87"/>
      <c r="T38" s="87"/>
      <c r="U38" s="8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</row>
    <row r="39" spans="1:93" s="13" customFormat="1" ht="17.399999999999999" x14ac:dyDescent="0.25">
      <c r="A39" s="38"/>
      <c r="B39" s="137"/>
      <c r="C39" s="137"/>
      <c r="D39" s="1" t="s">
        <v>70</v>
      </c>
      <c r="E39" s="173" t="s">
        <v>7</v>
      </c>
      <c r="F39" s="87"/>
      <c r="G39" s="87"/>
      <c r="H39" s="87"/>
      <c r="I39" s="88"/>
      <c r="J39" s="21">
        <f t="shared" ref="J39:J40" si="12">IF(E39 = "Yes",4,0)</f>
        <v>4</v>
      </c>
      <c r="K39" s="173" t="s">
        <v>7</v>
      </c>
      <c r="L39" s="87"/>
      <c r="M39" s="87"/>
      <c r="N39" s="87"/>
      <c r="O39" s="88"/>
      <c r="P39" s="21">
        <f t="shared" ref="P39:P40" si="13">IF(K39 = "Yes",4,0)</f>
        <v>4</v>
      </c>
      <c r="Q39" s="14"/>
      <c r="R39" s="15"/>
      <c r="S39" s="15"/>
      <c r="T39" s="15"/>
      <c r="U39" s="15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</row>
    <row r="40" spans="1:93" s="13" customFormat="1" ht="17.399999999999999" x14ac:dyDescent="0.25">
      <c r="A40" s="38"/>
      <c r="B40" s="137"/>
      <c r="C40" s="137"/>
      <c r="D40" s="1" t="s">
        <v>71</v>
      </c>
      <c r="E40" s="173" t="s">
        <v>7</v>
      </c>
      <c r="F40" s="87"/>
      <c r="G40" s="87"/>
      <c r="H40" s="87"/>
      <c r="I40" s="88"/>
      <c r="J40" s="21">
        <f t="shared" si="12"/>
        <v>4</v>
      </c>
      <c r="K40" s="173" t="s">
        <v>7</v>
      </c>
      <c r="L40" s="87"/>
      <c r="M40" s="87"/>
      <c r="N40" s="87"/>
      <c r="O40" s="88"/>
      <c r="P40" s="21">
        <f t="shared" si="13"/>
        <v>4</v>
      </c>
      <c r="Q40" s="14"/>
      <c r="R40" s="15"/>
      <c r="S40" s="15"/>
      <c r="T40" s="15"/>
      <c r="U40" s="15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</row>
    <row r="41" spans="1:93" s="13" customFormat="1" ht="17.399999999999999" x14ac:dyDescent="0.25">
      <c r="A41" s="38"/>
      <c r="B41" s="137"/>
      <c r="C41" s="137"/>
      <c r="D41" s="1" t="s">
        <v>73</v>
      </c>
      <c r="E41" s="173" t="s">
        <v>7</v>
      </c>
      <c r="F41" s="87"/>
      <c r="G41" s="87"/>
      <c r="H41" s="87"/>
      <c r="I41" s="88"/>
      <c r="J41" s="21">
        <f>IF(E41 = "Yes",5,0)</f>
        <v>5</v>
      </c>
      <c r="K41" s="173" t="s">
        <v>7</v>
      </c>
      <c r="L41" s="87"/>
      <c r="M41" s="87"/>
      <c r="N41" s="87"/>
      <c r="O41" s="88"/>
      <c r="P41" s="21">
        <f>IF(K41 = "Yes",5,0)</f>
        <v>5</v>
      </c>
      <c r="Q41" s="14"/>
      <c r="R41" s="15"/>
      <c r="S41" s="15"/>
      <c r="T41" s="15"/>
      <c r="U41" s="15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</row>
    <row r="42" spans="1:93" s="13" customFormat="1" ht="17.399999999999999" x14ac:dyDescent="0.4">
      <c r="A42" s="38"/>
      <c r="B42" s="50"/>
      <c r="C42" s="52"/>
      <c r="D42" s="18"/>
      <c r="E42" s="119"/>
      <c r="F42" s="119"/>
      <c r="G42" s="119"/>
      <c r="H42" s="119"/>
      <c r="I42" s="119"/>
      <c r="J42" s="20"/>
      <c r="K42" s="120"/>
      <c r="L42" s="120"/>
      <c r="M42" s="120"/>
      <c r="N42" s="120"/>
      <c r="O42" s="120"/>
      <c r="P42" s="120"/>
      <c r="Q42" s="14"/>
      <c r="R42" s="15"/>
      <c r="S42" s="15"/>
      <c r="T42" s="15"/>
      <c r="U42" s="15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</row>
    <row r="43" spans="1:93" s="13" customFormat="1" ht="19.05" customHeight="1" x14ac:dyDescent="0.25">
      <c r="A43" s="149"/>
      <c r="B43" s="188" t="s">
        <v>112</v>
      </c>
      <c r="C43" s="188"/>
      <c r="D43" s="152" t="s">
        <v>14</v>
      </c>
      <c r="E43" s="153">
        <f>SUM(J44:J46)</f>
        <v>12</v>
      </c>
      <c r="F43" s="154"/>
      <c r="G43" s="154"/>
      <c r="H43" s="154"/>
      <c r="I43" s="155"/>
      <c r="J43" s="156"/>
      <c r="K43" s="153">
        <f>SUM(P44:P46)</f>
        <v>12</v>
      </c>
      <c r="L43" s="154"/>
      <c r="M43" s="154"/>
      <c r="N43" s="154"/>
      <c r="O43" s="155"/>
      <c r="P43" s="156"/>
      <c r="Q43" s="153"/>
      <c r="R43" s="154"/>
      <c r="S43" s="154"/>
      <c r="T43" s="154"/>
      <c r="U43" s="155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</row>
    <row r="44" spans="1:93" s="50" customFormat="1" ht="30" x14ac:dyDescent="0.25">
      <c r="A44" s="189"/>
      <c r="B44" s="188"/>
      <c r="C44" s="188"/>
      <c r="D44" s="179" t="s">
        <v>74</v>
      </c>
      <c r="E44" s="190" t="s">
        <v>7</v>
      </c>
      <c r="F44" s="191"/>
      <c r="G44" s="191"/>
      <c r="H44" s="191"/>
      <c r="I44" s="192"/>
      <c r="J44" s="193">
        <f t="shared" ref="J44:J45" si="14">IF(E44 = "Yes",4,0)</f>
        <v>4</v>
      </c>
      <c r="K44" s="190" t="s">
        <v>7</v>
      </c>
      <c r="L44" s="191"/>
      <c r="M44" s="191"/>
      <c r="N44" s="191"/>
      <c r="O44" s="192"/>
      <c r="P44" s="193">
        <f t="shared" ref="P44:P45" si="15">IF(K44 = "Yes",4,0)</f>
        <v>4</v>
      </c>
      <c r="Q44" s="163"/>
      <c r="R44" s="163"/>
      <c r="S44" s="163"/>
      <c r="T44" s="163"/>
      <c r="U44" s="16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</row>
    <row r="45" spans="1:93" s="13" customFormat="1" ht="17.399999999999999" x14ac:dyDescent="0.25">
      <c r="A45" s="149"/>
      <c r="B45" s="188"/>
      <c r="C45" s="188"/>
      <c r="D45" s="178" t="s">
        <v>75</v>
      </c>
      <c r="E45" s="160" t="s">
        <v>7</v>
      </c>
      <c r="F45" s="154"/>
      <c r="G45" s="154"/>
      <c r="H45" s="154"/>
      <c r="I45" s="155"/>
      <c r="J45" s="161">
        <f t="shared" si="14"/>
        <v>4</v>
      </c>
      <c r="K45" s="160" t="s">
        <v>7</v>
      </c>
      <c r="L45" s="154"/>
      <c r="M45" s="154"/>
      <c r="N45" s="154"/>
      <c r="O45" s="155"/>
      <c r="P45" s="161">
        <f t="shared" si="15"/>
        <v>4</v>
      </c>
      <c r="Q45" s="162"/>
      <c r="R45" s="163"/>
      <c r="S45" s="163"/>
      <c r="T45" s="163"/>
      <c r="U45" s="163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</row>
    <row r="46" spans="1:93" s="13" customFormat="1" ht="17.399999999999999" x14ac:dyDescent="0.25">
      <c r="A46" s="149"/>
      <c r="B46" s="188"/>
      <c r="C46" s="188"/>
      <c r="D46" s="178" t="s">
        <v>76</v>
      </c>
      <c r="E46" s="160" t="s">
        <v>7</v>
      </c>
      <c r="F46" s="154"/>
      <c r="G46" s="154"/>
      <c r="H46" s="154"/>
      <c r="I46" s="155"/>
      <c r="J46" s="161">
        <f>IF(E46 = "Yes",4,0)</f>
        <v>4</v>
      </c>
      <c r="K46" s="160" t="s">
        <v>7</v>
      </c>
      <c r="L46" s="154"/>
      <c r="M46" s="154"/>
      <c r="N46" s="154"/>
      <c r="O46" s="155"/>
      <c r="P46" s="161">
        <f>IF(K46 = "Yes",4,0)</f>
        <v>4</v>
      </c>
      <c r="Q46" s="162"/>
      <c r="R46" s="163"/>
      <c r="S46" s="163"/>
      <c r="T46" s="163"/>
      <c r="U46" s="163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</row>
    <row r="47" spans="1:93" s="38" customFormat="1" ht="17.399999999999999" x14ac:dyDescent="0.4">
      <c r="C47" s="43"/>
      <c r="D47" s="44"/>
      <c r="E47" s="44"/>
      <c r="F47" s="44"/>
      <c r="G47" s="44"/>
      <c r="H47" s="44"/>
      <c r="I47" s="44"/>
      <c r="J47" s="45"/>
      <c r="K47" s="122"/>
      <c r="L47" s="122"/>
      <c r="M47" s="122"/>
      <c r="N47" s="122"/>
      <c r="O47" s="122"/>
      <c r="P47" s="122"/>
      <c r="Q47" s="37"/>
      <c r="R47" s="40"/>
      <c r="S47" s="40"/>
      <c r="T47" s="40"/>
      <c r="U47" s="40"/>
    </row>
    <row r="48" spans="1:93" s="38" customFormat="1" ht="17.399999999999999" x14ac:dyDescent="0.4">
      <c r="C48" s="43"/>
      <c r="J48" s="46"/>
      <c r="P48" s="46"/>
      <c r="Q48" s="37"/>
      <c r="R48" s="40"/>
      <c r="S48" s="40"/>
      <c r="T48" s="40"/>
      <c r="U48" s="40"/>
    </row>
    <row r="49" spans="3:21" s="38" customFormat="1" ht="17.399999999999999" x14ac:dyDescent="0.4">
      <c r="C49" s="43"/>
      <c r="J49" s="46"/>
      <c r="P49" s="46"/>
      <c r="Q49" s="37"/>
      <c r="R49" s="40"/>
      <c r="S49" s="40"/>
      <c r="T49" s="40"/>
      <c r="U49" s="40"/>
    </row>
    <row r="50" spans="3:21" s="38" customFormat="1" ht="17.399999999999999" x14ac:dyDescent="0.4">
      <c r="C50" s="43"/>
      <c r="E50" s="123"/>
      <c r="F50" s="123"/>
      <c r="G50" s="123"/>
      <c r="H50" s="123"/>
      <c r="I50" s="123"/>
      <c r="J50" s="46"/>
      <c r="P50" s="46"/>
      <c r="Q50" s="37"/>
      <c r="R50" s="40"/>
      <c r="S50" s="40"/>
      <c r="T50" s="40"/>
      <c r="U50" s="40"/>
    </row>
    <row r="51" spans="3:21" s="38" customFormat="1" ht="17.399999999999999" x14ac:dyDescent="0.4">
      <c r="C51" s="43"/>
      <c r="J51" s="46"/>
      <c r="P51" s="46"/>
      <c r="Q51" s="37"/>
      <c r="R51" s="40"/>
      <c r="S51" s="40"/>
      <c r="T51" s="40"/>
      <c r="U51" s="40"/>
    </row>
    <row r="52" spans="3:21" s="37" customFormat="1" ht="15.75" customHeight="1" x14ac:dyDescent="0.35">
      <c r="D52" s="40"/>
      <c r="E52" s="34"/>
      <c r="F52" s="34"/>
      <c r="G52" s="34"/>
      <c r="H52" s="34"/>
      <c r="I52" s="34"/>
      <c r="J52" s="39"/>
      <c r="K52" s="34"/>
      <c r="L52" s="34"/>
      <c r="M52" s="34"/>
      <c r="N52" s="34"/>
      <c r="O52" s="34"/>
      <c r="P52" s="39"/>
      <c r="R52" s="40"/>
      <c r="S52" s="40"/>
      <c r="T52" s="40"/>
      <c r="U52" s="40"/>
    </row>
    <row r="53" spans="3:21" s="37" customFormat="1" ht="15.75" customHeight="1" x14ac:dyDescent="0.35">
      <c r="D53" s="40"/>
      <c r="E53" s="34"/>
      <c r="F53" s="34"/>
      <c r="G53" s="34"/>
      <c r="H53" s="34"/>
      <c r="I53" s="34"/>
      <c r="J53" s="39"/>
      <c r="K53" s="34"/>
      <c r="L53" s="34"/>
      <c r="M53" s="34"/>
      <c r="N53" s="34"/>
      <c r="O53" s="34"/>
      <c r="P53" s="39"/>
      <c r="R53" s="40"/>
      <c r="S53" s="40"/>
      <c r="T53" s="40"/>
      <c r="U53" s="40"/>
    </row>
    <row r="54" spans="3:21" s="37" customFormat="1" ht="15.75" customHeight="1" x14ac:dyDescent="0.35">
      <c r="D54" s="40"/>
      <c r="E54" s="34"/>
      <c r="F54" s="34"/>
      <c r="G54" s="34"/>
      <c r="H54" s="34"/>
      <c r="I54" s="34"/>
      <c r="J54" s="39"/>
      <c r="K54" s="34"/>
      <c r="L54" s="34"/>
      <c r="M54" s="34"/>
      <c r="N54" s="34"/>
      <c r="O54" s="34"/>
      <c r="P54" s="39"/>
      <c r="R54" s="40"/>
      <c r="S54" s="40"/>
      <c r="T54" s="40"/>
      <c r="U54" s="40"/>
    </row>
    <row r="55" spans="3:21" s="37" customFormat="1" ht="15.75" customHeight="1" x14ac:dyDescent="0.35">
      <c r="D55" s="40"/>
      <c r="E55" s="34"/>
      <c r="F55" s="34"/>
      <c r="G55" s="34"/>
      <c r="H55" s="34"/>
      <c r="I55" s="34"/>
      <c r="J55" s="39"/>
      <c r="K55" s="34"/>
      <c r="L55" s="34"/>
      <c r="M55" s="34"/>
      <c r="N55" s="34"/>
      <c r="O55" s="34"/>
      <c r="P55" s="39"/>
      <c r="R55" s="40"/>
      <c r="S55" s="40"/>
      <c r="T55" s="40"/>
      <c r="U55" s="40"/>
    </row>
    <row r="56" spans="3:21" s="37" customFormat="1" ht="15.75" customHeight="1" x14ac:dyDescent="0.35">
      <c r="D56" s="40"/>
      <c r="E56" s="34"/>
      <c r="F56" s="34"/>
      <c r="G56" s="34"/>
      <c r="H56" s="34"/>
      <c r="I56" s="34"/>
      <c r="J56" s="39"/>
      <c r="K56" s="34"/>
      <c r="L56" s="34"/>
      <c r="M56" s="34"/>
      <c r="N56" s="34"/>
      <c r="O56" s="34"/>
      <c r="P56" s="39"/>
      <c r="R56" s="40"/>
      <c r="S56" s="40"/>
      <c r="T56" s="40"/>
      <c r="U56" s="40"/>
    </row>
    <row r="57" spans="3:21" s="37" customFormat="1" ht="15.75" customHeight="1" x14ac:dyDescent="0.35">
      <c r="D57" s="40"/>
      <c r="E57" s="34"/>
      <c r="F57" s="34"/>
      <c r="G57" s="34"/>
      <c r="H57" s="34"/>
      <c r="I57" s="34"/>
      <c r="J57" s="39"/>
      <c r="K57" s="34"/>
      <c r="L57" s="34"/>
      <c r="M57" s="34"/>
      <c r="N57" s="34"/>
      <c r="O57" s="34"/>
      <c r="P57" s="39"/>
      <c r="R57" s="40"/>
      <c r="S57" s="40"/>
      <c r="T57" s="40"/>
      <c r="U57" s="40"/>
    </row>
    <row r="58" spans="3:21" s="37" customFormat="1" ht="15.75" customHeight="1" x14ac:dyDescent="0.35">
      <c r="D58" s="40"/>
      <c r="E58" s="34"/>
      <c r="F58" s="34"/>
      <c r="G58" s="34"/>
      <c r="H58" s="34"/>
      <c r="I58" s="34"/>
      <c r="J58" s="39"/>
      <c r="K58" s="34"/>
      <c r="L58" s="34"/>
      <c r="M58" s="34"/>
      <c r="N58" s="34"/>
      <c r="O58" s="34"/>
      <c r="P58" s="39"/>
      <c r="R58" s="40"/>
      <c r="S58" s="40"/>
      <c r="T58" s="40"/>
      <c r="U58" s="40"/>
    </row>
    <row r="59" spans="3:21" s="37" customFormat="1" ht="15.75" customHeight="1" x14ac:dyDescent="0.35">
      <c r="D59" s="40"/>
      <c r="E59" s="34"/>
      <c r="F59" s="34"/>
      <c r="G59" s="34"/>
      <c r="H59" s="34"/>
      <c r="I59" s="34"/>
      <c r="J59" s="39"/>
      <c r="K59" s="34"/>
      <c r="L59" s="34"/>
      <c r="M59" s="34"/>
      <c r="N59" s="34"/>
      <c r="O59" s="34"/>
      <c r="P59" s="39"/>
      <c r="R59" s="40"/>
      <c r="S59" s="40"/>
      <c r="T59" s="40"/>
      <c r="U59" s="40"/>
    </row>
    <row r="60" spans="3:21" s="37" customFormat="1" ht="15.75" customHeight="1" x14ac:dyDescent="0.35">
      <c r="D60" s="40"/>
      <c r="E60" s="34"/>
      <c r="F60" s="34"/>
      <c r="G60" s="34"/>
      <c r="H60" s="34"/>
      <c r="I60" s="34"/>
      <c r="J60" s="39"/>
      <c r="K60" s="34"/>
      <c r="L60" s="34"/>
      <c r="M60" s="34"/>
      <c r="N60" s="34"/>
      <c r="O60" s="34"/>
      <c r="P60" s="39"/>
      <c r="R60" s="40"/>
      <c r="S60" s="40"/>
      <c r="T60" s="40"/>
      <c r="U60" s="40"/>
    </row>
    <row r="61" spans="3:21" s="37" customFormat="1" ht="15.75" customHeight="1" x14ac:dyDescent="0.35">
      <c r="D61" s="40"/>
      <c r="E61" s="34"/>
      <c r="F61" s="34"/>
      <c r="G61" s="34"/>
      <c r="H61" s="34"/>
      <c r="I61" s="34"/>
      <c r="J61" s="39"/>
      <c r="K61" s="34"/>
      <c r="L61" s="34"/>
      <c r="M61" s="34"/>
      <c r="N61" s="34"/>
      <c r="O61" s="34"/>
      <c r="P61" s="39"/>
      <c r="R61" s="40"/>
      <c r="S61" s="40"/>
      <c r="T61" s="40"/>
      <c r="U61" s="40"/>
    </row>
    <row r="62" spans="3:21" s="37" customFormat="1" ht="15.75" customHeight="1" x14ac:dyDescent="0.35">
      <c r="D62" s="40"/>
      <c r="E62" s="34"/>
      <c r="F62" s="34"/>
      <c r="G62" s="34"/>
      <c r="H62" s="34"/>
      <c r="I62" s="34"/>
      <c r="J62" s="39"/>
      <c r="K62" s="34"/>
      <c r="L62" s="34"/>
      <c r="M62" s="34"/>
      <c r="N62" s="34"/>
      <c r="O62" s="34"/>
      <c r="P62" s="39"/>
      <c r="R62" s="40"/>
      <c r="S62" s="40"/>
      <c r="T62" s="40"/>
      <c r="U62" s="40"/>
    </row>
    <row r="63" spans="3:21" s="37" customFormat="1" ht="15.75" customHeight="1" x14ac:dyDescent="0.35">
      <c r="D63" s="40"/>
      <c r="E63" s="34"/>
      <c r="F63" s="34"/>
      <c r="G63" s="34"/>
      <c r="H63" s="34"/>
      <c r="I63" s="34"/>
      <c r="J63" s="39"/>
      <c r="K63" s="34"/>
      <c r="L63" s="34"/>
      <c r="M63" s="34"/>
      <c r="N63" s="34"/>
      <c r="O63" s="34"/>
      <c r="P63" s="39"/>
      <c r="R63" s="40"/>
      <c r="S63" s="40"/>
      <c r="T63" s="40"/>
      <c r="U63" s="40"/>
    </row>
    <row r="64" spans="3:21" s="37" customFormat="1" ht="15.75" customHeight="1" x14ac:dyDescent="0.35">
      <c r="D64" s="40"/>
      <c r="E64" s="34"/>
      <c r="F64" s="34"/>
      <c r="G64" s="34"/>
      <c r="H64" s="34"/>
      <c r="I64" s="34"/>
      <c r="J64" s="39"/>
      <c r="K64" s="34"/>
      <c r="L64" s="34"/>
      <c r="M64" s="34"/>
      <c r="N64" s="34"/>
      <c r="O64" s="34"/>
      <c r="P64" s="39"/>
      <c r="R64" s="40"/>
      <c r="S64" s="40"/>
      <c r="T64" s="40"/>
      <c r="U64" s="40"/>
    </row>
    <row r="65" spans="4:21" s="37" customFormat="1" ht="15.75" customHeight="1" x14ac:dyDescent="0.35">
      <c r="D65" s="40"/>
      <c r="E65" s="34"/>
      <c r="F65" s="34"/>
      <c r="G65" s="34"/>
      <c r="H65" s="34"/>
      <c r="I65" s="34"/>
      <c r="J65" s="39"/>
      <c r="K65" s="34"/>
      <c r="L65" s="34"/>
      <c r="M65" s="34"/>
      <c r="N65" s="34"/>
      <c r="O65" s="34"/>
      <c r="P65" s="39"/>
      <c r="R65" s="40"/>
      <c r="S65" s="40"/>
      <c r="T65" s="40"/>
      <c r="U65" s="40"/>
    </row>
    <row r="66" spans="4:21" s="37" customFormat="1" ht="15.75" customHeight="1" x14ac:dyDescent="0.35">
      <c r="D66" s="40"/>
      <c r="E66" s="34"/>
      <c r="F66" s="34"/>
      <c r="G66" s="34"/>
      <c r="H66" s="34"/>
      <c r="I66" s="34"/>
      <c r="J66" s="39"/>
      <c r="K66" s="34"/>
      <c r="L66" s="34"/>
      <c r="M66" s="34"/>
      <c r="N66" s="34"/>
      <c r="O66" s="34"/>
      <c r="P66" s="39"/>
      <c r="R66" s="40"/>
      <c r="S66" s="40"/>
      <c r="T66" s="40"/>
      <c r="U66" s="40"/>
    </row>
    <row r="67" spans="4:21" s="37" customFormat="1" ht="15.75" customHeight="1" x14ac:dyDescent="0.35">
      <c r="D67" s="40"/>
      <c r="E67" s="34"/>
      <c r="F67" s="34"/>
      <c r="G67" s="34"/>
      <c r="H67" s="34"/>
      <c r="I67" s="34"/>
      <c r="J67" s="39"/>
      <c r="K67" s="34"/>
      <c r="L67" s="34"/>
      <c r="M67" s="34"/>
      <c r="N67" s="34"/>
      <c r="O67" s="34"/>
      <c r="P67" s="39"/>
      <c r="R67" s="40"/>
      <c r="S67" s="40"/>
      <c r="T67" s="40"/>
      <c r="U67" s="40"/>
    </row>
    <row r="68" spans="4:21" s="37" customFormat="1" ht="15.75" customHeight="1" x14ac:dyDescent="0.35">
      <c r="D68" s="40"/>
      <c r="E68" s="34"/>
      <c r="F68" s="34"/>
      <c r="G68" s="34"/>
      <c r="H68" s="34"/>
      <c r="I68" s="34"/>
      <c r="J68" s="39"/>
      <c r="K68" s="34"/>
      <c r="L68" s="34"/>
      <c r="M68" s="34"/>
      <c r="N68" s="34"/>
      <c r="O68" s="34"/>
      <c r="P68" s="39"/>
      <c r="R68" s="40"/>
      <c r="S68" s="40"/>
      <c r="T68" s="40"/>
      <c r="U68" s="40"/>
    </row>
    <row r="69" spans="4:21" s="37" customFormat="1" ht="15.75" customHeight="1" x14ac:dyDescent="0.35">
      <c r="D69" s="40"/>
      <c r="E69" s="34"/>
      <c r="F69" s="34"/>
      <c r="G69" s="34"/>
      <c r="H69" s="34"/>
      <c r="I69" s="34"/>
      <c r="J69" s="39"/>
      <c r="K69" s="34"/>
      <c r="L69" s="34"/>
      <c r="M69" s="34"/>
      <c r="N69" s="34"/>
      <c r="O69" s="34"/>
      <c r="P69" s="39"/>
      <c r="R69" s="40"/>
      <c r="S69" s="40"/>
      <c r="T69" s="40"/>
      <c r="U69" s="40"/>
    </row>
    <row r="70" spans="4:21" s="37" customFormat="1" ht="15.75" customHeight="1" x14ac:dyDescent="0.35">
      <c r="D70" s="40"/>
      <c r="E70" s="34"/>
      <c r="F70" s="34"/>
      <c r="G70" s="34"/>
      <c r="H70" s="34"/>
      <c r="I70" s="34"/>
      <c r="J70" s="39"/>
      <c r="K70" s="34"/>
      <c r="L70" s="34"/>
      <c r="M70" s="34"/>
      <c r="N70" s="34"/>
      <c r="O70" s="34"/>
      <c r="P70" s="39"/>
      <c r="R70" s="40"/>
      <c r="S70" s="40"/>
      <c r="T70" s="40"/>
      <c r="U70" s="40"/>
    </row>
    <row r="71" spans="4:21" s="37" customFormat="1" ht="15.75" customHeight="1" x14ac:dyDescent="0.35">
      <c r="D71" s="40"/>
      <c r="E71" s="34"/>
      <c r="F71" s="34"/>
      <c r="G71" s="34"/>
      <c r="H71" s="34"/>
      <c r="I71" s="34"/>
      <c r="J71" s="39"/>
      <c r="K71" s="34"/>
      <c r="L71" s="34"/>
      <c r="M71" s="34"/>
      <c r="N71" s="34"/>
      <c r="O71" s="34"/>
      <c r="P71" s="39"/>
      <c r="R71" s="40"/>
      <c r="S71" s="40"/>
      <c r="T71" s="40"/>
      <c r="U71" s="40"/>
    </row>
    <row r="72" spans="4:21" s="37" customFormat="1" ht="15.75" customHeight="1" x14ac:dyDescent="0.35">
      <c r="D72" s="40"/>
      <c r="E72" s="34"/>
      <c r="F72" s="34"/>
      <c r="G72" s="34"/>
      <c r="H72" s="34"/>
      <c r="I72" s="34"/>
      <c r="J72" s="39"/>
      <c r="K72" s="34"/>
      <c r="L72" s="34"/>
      <c r="M72" s="34"/>
      <c r="N72" s="34"/>
      <c r="O72" s="34"/>
      <c r="P72" s="39"/>
      <c r="R72" s="40"/>
      <c r="S72" s="40"/>
      <c r="T72" s="40"/>
      <c r="U72" s="40"/>
    </row>
    <row r="73" spans="4:21" s="37" customFormat="1" ht="15.75" customHeight="1" x14ac:dyDescent="0.35">
      <c r="D73" s="40"/>
      <c r="E73" s="34"/>
      <c r="F73" s="34"/>
      <c r="G73" s="34"/>
      <c r="H73" s="34"/>
      <c r="I73" s="34"/>
      <c r="J73" s="39"/>
      <c r="K73" s="34"/>
      <c r="L73" s="34"/>
      <c r="M73" s="34"/>
      <c r="N73" s="34"/>
      <c r="O73" s="34"/>
      <c r="P73" s="39"/>
      <c r="R73" s="40"/>
      <c r="S73" s="40"/>
      <c r="T73" s="40"/>
      <c r="U73" s="40"/>
    </row>
    <row r="74" spans="4:21" s="37" customFormat="1" ht="15.75" customHeight="1" x14ac:dyDescent="0.35">
      <c r="D74" s="40"/>
      <c r="E74" s="34"/>
      <c r="F74" s="34"/>
      <c r="G74" s="34"/>
      <c r="H74" s="34"/>
      <c r="I74" s="34"/>
      <c r="J74" s="39"/>
      <c r="K74" s="34"/>
      <c r="L74" s="34"/>
      <c r="M74" s="34"/>
      <c r="N74" s="34"/>
      <c r="O74" s="34"/>
      <c r="P74" s="39"/>
      <c r="R74" s="40"/>
      <c r="S74" s="40"/>
      <c r="T74" s="40"/>
      <c r="U74" s="40"/>
    </row>
    <row r="75" spans="4:21" s="37" customFormat="1" ht="15.75" customHeight="1" x14ac:dyDescent="0.35">
      <c r="D75" s="40"/>
      <c r="E75" s="34"/>
      <c r="F75" s="34"/>
      <c r="G75" s="34"/>
      <c r="H75" s="34"/>
      <c r="I75" s="34"/>
      <c r="J75" s="39"/>
      <c r="K75" s="34"/>
      <c r="L75" s="34"/>
      <c r="M75" s="34"/>
      <c r="N75" s="34"/>
      <c r="O75" s="34"/>
      <c r="P75" s="39"/>
      <c r="R75" s="40"/>
      <c r="S75" s="40"/>
      <c r="T75" s="40"/>
      <c r="U75" s="40"/>
    </row>
    <row r="76" spans="4:21" s="37" customFormat="1" ht="15.75" customHeight="1" x14ac:dyDescent="0.35">
      <c r="D76" s="40"/>
      <c r="E76" s="34"/>
      <c r="F76" s="34"/>
      <c r="G76" s="34"/>
      <c r="H76" s="34"/>
      <c r="I76" s="34"/>
      <c r="J76" s="39"/>
      <c r="K76" s="34"/>
      <c r="L76" s="34"/>
      <c r="M76" s="34"/>
      <c r="N76" s="34"/>
      <c r="O76" s="34"/>
      <c r="P76" s="39"/>
      <c r="R76" s="40"/>
      <c r="S76" s="40"/>
      <c r="T76" s="40"/>
      <c r="U76" s="40"/>
    </row>
    <row r="77" spans="4:21" s="37" customFormat="1" ht="15.75" customHeight="1" x14ac:dyDescent="0.35">
      <c r="D77" s="40"/>
      <c r="E77" s="34"/>
      <c r="F77" s="34"/>
      <c r="G77" s="34"/>
      <c r="H77" s="34"/>
      <c r="I77" s="34"/>
      <c r="J77" s="39"/>
      <c r="K77" s="34"/>
      <c r="L77" s="34"/>
      <c r="M77" s="34"/>
      <c r="N77" s="34"/>
      <c r="O77" s="34"/>
      <c r="P77" s="39"/>
      <c r="R77" s="40"/>
      <c r="S77" s="40"/>
      <c r="T77" s="40"/>
      <c r="U77" s="40"/>
    </row>
    <row r="78" spans="4:21" s="37" customFormat="1" ht="15.75" customHeight="1" x14ac:dyDescent="0.35">
      <c r="D78" s="40"/>
      <c r="E78" s="34"/>
      <c r="F78" s="34"/>
      <c r="G78" s="34"/>
      <c r="H78" s="34"/>
      <c r="I78" s="34"/>
      <c r="J78" s="39"/>
      <c r="K78" s="34"/>
      <c r="L78" s="34"/>
      <c r="M78" s="34"/>
      <c r="N78" s="34"/>
      <c r="O78" s="34"/>
      <c r="P78" s="39"/>
      <c r="R78" s="40"/>
      <c r="S78" s="40"/>
      <c r="T78" s="40"/>
      <c r="U78" s="40"/>
    </row>
    <row r="79" spans="4:21" s="37" customFormat="1" ht="15.75" customHeight="1" x14ac:dyDescent="0.35">
      <c r="D79" s="40"/>
      <c r="E79" s="34"/>
      <c r="F79" s="34"/>
      <c r="G79" s="34"/>
      <c r="H79" s="34"/>
      <c r="I79" s="34"/>
      <c r="J79" s="39"/>
      <c r="K79" s="34"/>
      <c r="L79" s="34"/>
      <c r="M79" s="34"/>
      <c r="N79" s="34"/>
      <c r="O79" s="34"/>
      <c r="P79" s="39"/>
      <c r="R79" s="40"/>
      <c r="S79" s="40"/>
      <c r="T79" s="40"/>
      <c r="U79" s="40"/>
    </row>
    <row r="80" spans="4:21" s="37" customFormat="1" ht="15.75" customHeight="1" x14ac:dyDescent="0.35">
      <c r="D80" s="40"/>
      <c r="E80" s="34"/>
      <c r="F80" s="34"/>
      <c r="G80" s="34"/>
      <c r="H80" s="34"/>
      <c r="I80" s="34"/>
      <c r="J80" s="39"/>
      <c r="K80" s="34"/>
      <c r="L80" s="34"/>
      <c r="M80" s="34"/>
      <c r="N80" s="34"/>
      <c r="O80" s="34"/>
      <c r="P80" s="39"/>
      <c r="R80" s="40"/>
      <c r="S80" s="40"/>
      <c r="T80" s="40"/>
      <c r="U80" s="40"/>
    </row>
    <row r="81" spans="4:21" s="37" customFormat="1" ht="15.75" customHeight="1" x14ac:dyDescent="0.35">
      <c r="D81" s="40"/>
      <c r="E81" s="34"/>
      <c r="F81" s="34"/>
      <c r="G81" s="34"/>
      <c r="H81" s="34"/>
      <c r="I81" s="34"/>
      <c r="J81" s="39"/>
      <c r="K81" s="34"/>
      <c r="L81" s="34"/>
      <c r="M81" s="34"/>
      <c r="N81" s="34"/>
      <c r="O81" s="34"/>
      <c r="P81" s="39"/>
      <c r="R81" s="40"/>
      <c r="S81" s="40"/>
      <c r="T81" s="40"/>
      <c r="U81" s="40"/>
    </row>
    <row r="82" spans="4:21" s="37" customFormat="1" ht="15.75" customHeight="1" x14ac:dyDescent="0.35">
      <c r="D82" s="40"/>
      <c r="E82" s="34"/>
      <c r="F82" s="34"/>
      <c r="G82" s="34"/>
      <c r="H82" s="34"/>
      <c r="I82" s="34"/>
      <c r="J82" s="39"/>
      <c r="K82" s="34"/>
      <c r="L82" s="34"/>
      <c r="M82" s="34"/>
      <c r="N82" s="34"/>
      <c r="O82" s="34"/>
      <c r="P82" s="39"/>
      <c r="R82" s="40"/>
      <c r="S82" s="40"/>
      <c r="T82" s="40"/>
      <c r="U82" s="40"/>
    </row>
    <row r="83" spans="4:21" s="37" customFormat="1" ht="15.75" customHeight="1" x14ac:dyDescent="0.35">
      <c r="D83" s="40"/>
      <c r="E83" s="34"/>
      <c r="F83" s="34"/>
      <c r="G83" s="34"/>
      <c r="H83" s="34"/>
      <c r="I83" s="34"/>
      <c r="J83" s="39"/>
      <c r="K83" s="34"/>
      <c r="L83" s="34"/>
      <c r="M83" s="34"/>
      <c r="N83" s="34"/>
      <c r="O83" s="34"/>
      <c r="P83" s="39"/>
      <c r="R83" s="40"/>
      <c r="S83" s="40"/>
      <c r="T83" s="40"/>
      <c r="U83" s="40"/>
    </row>
    <row r="84" spans="4:21" s="37" customFormat="1" ht="15.75" customHeight="1" x14ac:dyDescent="0.35">
      <c r="D84" s="40"/>
      <c r="E84" s="34"/>
      <c r="F84" s="34"/>
      <c r="G84" s="34"/>
      <c r="H84" s="34"/>
      <c r="I84" s="34"/>
      <c r="J84" s="39"/>
      <c r="K84" s="34"/>
      <c r="L84" s="34"/>
      <c r="M84" s="34"/>
      <c r="N84" s="34"/>
      <c r="O84" s="34"/>
      <c r="P84" s="39"/>
      <c r="R84" s="40"/>
      <c r="S84" s="40"/>
      <c r="T84" s="40"/>
      <c r="U84" s="40"/>
    </row>
    <row r="85" spans="4:21" s="37" customFormat="1" ht="15.75" customHeight="1" x14ac:dyDescent="0.35">
      <c r="D85" s="40"/>
      <c r="E85" s="34"/>
      <c r="F85" s="34"/>
      <c r="G85" s="34"/>
      <c r="H85" s="34"/>
      <c r="I85" s="34"/>
      <c r="J85" s="39"/>
      <c r="K85" s="34"/>
      <c r="L85" s="34"/>
      <c r="M85" s="34"/>
      <c r="N85" s="34"/>
      <c r="O85" s="34"/>
      <c r="P85" s="39"/>
      <c r="R85" s="40"/>
      <c r="S85" s="40"/>
      <c r="T85" s="40"/>
      <c r="U85" s="40"/>
    </row>
    <row r="86" spans="4:21" s="37" customFormat="1" ht="15.75" customHeight="1" x14ac:dyDescent="0.35">
      <c r="D86" s="40"/>
      <c r="E86" s="34"/>
      <c r="F86" s="34"/>
      <c r="G86" s="34"/>
      <c r="H86" s="34"/>
      <c r="I86" s="34"/>
      <c r="J86" s="39"/>
      <c r="K86" s="34"/>
      <c r="L86" s="34"/>
      <c r="M86" s="34"/>
      <c r="N86" s="34"/>
      <c r="O86" s="34"/>
      <c r="P86" s="39"/>
      <c r="R86" s="40"/>
      <c r="S86" s="40"/>
      <c r="T86" s="40"/>
      <c r="U86" s="40"/>
    </row>
    <row r="87" spans="4:21" s="37" customFormat="1" ht="15.75" customHeight="1" x14ac:dyDescent="0.35">
      <c r="D87" s="40"/>
      <c r="E87" s="34"/>
      <c r="F87" s="34"/>
      <c r="G87" s="34"/>
      <c r="H87" s="34"/>
      <c r="I87" s="34"/>
      <c r="J87" s="39"/>
      <c r="K87" s="34"/>
      <c r="L87" s="34"/>
      <c r="M87" s="34"/>
      <c r="N87" s="34"/>
      <c r="O87" s="34"/>
      <c r="P87" s="39"/>
      <c r="R87" s="40"/>
      <c r="S87" s="40"/>
      <c r="T87" s="40"/>
      <c r="U87" s="40"/>
    </row>
    <row r="88" spans="4:21" s="37" customFormat="1" ht="15.75" customHeight="1" x14ac:dyDescent="0.35">
      <c r="D88" s="40"/>
      <c r="E88" s="34"/>
      <c r="F88" s="34"/>
      <c r="G88" s="34"/>
      <c r="H88" s="34"/>
      <c r="I88" s="34"/>
      <c r="J88" s="39"/>
      <c r="K88" s="34"/>
      <c r="L88" s="34"/>
      <c r="M88" s="34"/>
      <c r="N88" s="34"/>
      <c r="O88" s="34"/>
      <c r="P88" s="39"/>
      <c r="R88" s="40"/>
      <c r="S88" s="40"/>
      <c r="T88" s="40"/>
      <c r="U88" s="40"/>
    </row>
    <row r="89" spans="4:21" s="37" customFormat="1" ht="15.75" customHeight="1" x14ac:dyDescent="0.35">
      <c r="D89" s="40"/>
      <c r="E89" s="34"/>
      <c r="F89" s="34"/>
      <c r="G89" s="34"/>
      <c r="H89" s="34"/>
      <c r="I89" s="34"/>
      <c r="J89" s="39"/>
      <c r="K89" s="34"/>
      <c r="L89" s="34"/>
      <c r="M89" s="34"/>
      <c r="N89" s="34"/>
      <c r="O89" s="34"/>
      <c r="P89" s="39"/>
      <c r="R89" s="40"/>
      <c r="S89" s="40"/>
      <c r="T89" s="40"/>
      <c r="U89" s="40"/>
    </row>
    <row r="90" spans="4:21" s="37" customFormat="1" ht="15.75" customHeight="1" x14ac:dyDescent="0.35">
      <c r="D90" s="40"/>
      <c r="E90" s="34"/>
      <c r="F90" s="34"/>
      <c r="G90" s="34"/>
      <c r="H90" s="34"/>
      <c r="I90" s="34"/>
      <c r="J90" s="39"/>
      <c r="K90" s="34"/>
      <c r="L90" s="34"/>
      <c r="M90" s="34"/>
      <c r="N90" s="34"/>
      <c r="O90" s="34"/>
      <c r="P90" s="39"/>
      <c r="R90" s="40"/>
      <c r="S90" s="40"/>
      <c r="T90" s="40"/>
      <c r="U90" s="40"/>
    </row>
    <row r="91" spans="4:21" s="37" customFormat="1" ht="15.75" customHeight="1" x14ac:dyDescent="0.35">
      <c r="D91" s="40"/>
      <c r="E91" s="34"/>
      <c r="F91" s="34"/>
      <c r="G91" s="34"/>
      <c r="H91" s="34"/>
      <c r="I91" s="34"/>
      <c r="J91" s="39"/>
      <c r="K91" s="34"/>
      <c r="L91" s="34"/>
      <c r="M91" s="34"/>
      <c r="N91" s="34"/>
      <c r="O91" s="34"/>
      <c r="P91" s="39"/>
      <c r="R91" s="40"/>
      <c r="S91" s="40"/>
      <c r="T91" s="40"/>
      <c r="U91" s="40"/>
    </row>
    <row r="92" spans="4:21" s="37" customFormat="1" ht="15.75" customHeight="1" x14ac:dyDescent="0.35">
      <c r="D92" s="40"/>
      <c r="E92" s="34"/>
      <c r="F92" s="34"/>
      <c r="G92" s="34"/>
      <c r="H92" s="34"/>
      <c r="I92" s="34"/>
      <c r="J92" s="39"/>
      <c r="K92" s="34"/>
      <c r="L92" s="34"/>
      <c r="M92" s="34"/>
      <c r="N92" s="34"/>
      <c r="O92" s="34"/>
      <c r="P92" s="39"/>
      <c r="R92" s="40"/>
      <c r="S92" s="40"/>
      <c r="T92" s="40"/>
      <c r="U92" s="40"/>
    </row>
    <row r="93" spans="4:21" s="37" customFormat="1" ht="15.75" customHeight="1" x14ac:dyDescent="0.35">
      <c r="D93" s="40"/>
      <c r="E93" s="34"/>
      <c r="F93" s="34"/>
      <c r="G93" s="34"/>
      <c r="H93" s="34"/>
      <c r="I93" s="34"/>
      <c r="J93" s="39"/>
      <c r="K93" s="34"/>
      <c r="L93" s="34"/>
      <c r="M93" s="34"/>
      <c r="N93" s="34"/>
      <c r="O93" s="34"/>
      <c r="P93" s="39"/>
      <c r="R93" s="40"/>
      <c r="S93" s="40"/>
      <c r="T93" s="40"/>
      <c r="U93" s="40"/>
    </row>
    <row r="94" spans="4:21" s="37" customFormat="1" ht="15.75" customHeight="1" x14ac:dyDescent="0.35">
      <c r="D94" s="40"/>
      <c r="E94" s="34"/>
      <c r="F94" s="34"/>
      <c r="G94" s="34"/>
      <c r="H94" s="34"/>
      <c r="I94" s="34"/>
      <c r="J94" s="39"/>
      <c r="K94" s="34"/>
      <c r="L94" s="34"/>
      <c r="M94" s="34"/>
      <c r="N94" s="34"/>
      <c r="O94" s="34"/>
      <c r="P94" s="39"/>
      <c r="R94" s="40"/>
      <c r="S94" s="40"/>
      <c r="T94" s="40"/>
      <c r="U94" s="40"/>
    </row>
    <row r="95" spans="4:21" s="37" customFormat="1" ht="15.75" customHeight="1" x14ac:dyDescent="0.35">
      <c r="D95" s="40"/>
      <c r="E95" s="34"/>
      <c r="F95" s="34"/>
      <c r="G95" s="34"/>
      <c r="H95" s="34"/>
      <c r="I95" s="34"/>
      <c r="J95" s="39"/>
      <c r="K95" s="34"/>
      <c r="L95" s="34"/>
      <c r="M95" s="34"/>
      <c r="N95" s="34"/>
      <c r="O95" s="34"/>
      <c r="P95" s="39"/>
      <c r="R95" s="40"/>
      <c r="S95" s="40"/>
      <c r="T95" s="40"/>
      <c r="U95" s="40"/>
    </row>
    <row r="96" spans="4:21" s="37" customFormat="1" ht="15.75" customHeight="1" x14ac:dyDescent="0.35">
      <c r="D96" s="40"/>
      <c r="E96" s="34"/>
      <c r="F96" s="34"/>
      <c r="G96" s="34"/>
      <c r="H96" s="34"/>
      <c r="I96" s="34"/>
      <c r="J96" s="39"/>
      <c r="K96" s="34"/>
      <c r="L96" s="34"/>
      <c r="M96" s="34"/>
      <c r="N96" s="34"/>
      <c r="O96" s="34"/>
      <c r="P96" s="39"/>
      <c r="R96" s="40"/>
      <c r="S96" s="40"/>
      <c r="T96" s="40"/>
      <c r="U96" s="40"/>
    </row>
    <row r="97" spans="4:21" s="37" customFormat="1" ht="15.75" customHeight="1" x14ac:dyDescent="0.35">
      <c r="D97" s="40"/>
      <c r="E97" s="34"/>
      <c r="F97" s="34"/>
      <c r="G97" s="34"/>
      <c r="H97" s="34"/>
      <c r="I97" s="34"/>
      <c r="J97" s="39"/>
      <c r="K97" s="34"/>
      <c r="L97" s="34"/>
      <c r="M97" s="34"/>
      <c r="N97" s="34"/>
      <c r="O97" s="34"/>
      <c r="P97" s="39"/>
      <c r="R97" s="40"/>
      <c r="S97" s="40"/>
      <c r="T97" s="40"/>
      <c r="U97" s="40"/>
    </row>
    <row r="98" spans="4:21" s="37" customFormat="1" ht="15.75" customHeight="1" x14ac:dyDescent="0.35">
      <c r="D98" s="40"/>
      <c r="E98" s="34"/>
      <c r="F98" s="34"/>
      <c r="G98" s="34"/>
      <c r="H98" s="34"/>
      <c r="I98" s="34"/>
      <c r="J98" s="39"/>
      <c r="K98" s="34"/>
      <c r="L98" s="34"/>
      <c r="M98" s="34"/>
      <c r="N98" s="34"/>
      <c r="O98" s="34"/>
      <c r="P98" s="39"/>
      <c r="R98" s="40"/>
      <c r="S98" s="40"/>
      <c r="T98" s="40"/>
      <c r="U98" s="40"/>
    </row>
    <row r="99" spans="4:21" s="37" customFormat="1" ht="15.75" customHeight="1" x14ac:dyDescent="0.35">
      <c r="D99" s="40"/>
      <c r="E99" s="34"/>
      <c r="F99" s="34"/>
      <c r="G99" s="34"/>
      <c r="H99" s="34"/>
      <c r="I99" s="34"/>
      <c r="J99" s="39"/>
      <c r="K99" s="34"/>
      <c r="L99" s="34"/>
      <c r="M99" s="34"/>
      <c r="N99" s="34"/>
      <c r="O99" s="34"/>
      <c r="P99" s="39"/>
      <c r="R99" s="40"/>
      <c r="S99" s="40"/>
      <c r="T99" s="40"/>
      <c r="U99" s="40"/>
    </row>
    <row r="100" spans="4:21" s="37" customFormat="1" ht="15.75" customHeight="1" x14ac:dyDescent="0.35">
      <c r="D100" s="40"/>
      <c r="E100" s="34"/>
      <c r="F100" s="34"/>
      <c r="G100" s="34"/>
      <c r="H100" s="34"/>
      <c r="I100" s="34"/>
      <c r="J100" s="39"/>
      <c r="K100" s="34"/>
      <c r="L100" s="34"/>
      <c r="M100" s="34"/>
      <c r="N100" s="34"/>
      <c r="O100" s="34"/>
      <c r="P100" s="39"/>
      <c r="R100" s="40"/>
      <c r="S100" s="40"/>
      <c r="T100" s="40"/>
      <c r="U100" s="40"/>
    </row>
    <row r="101" spans="4:21" s="37" customFormat="1" ht="15.75" customHeight="1" x14ac:dyDescent="0.35">
      <c r="D101" s="40"/>
      <c r="E101" s="34"/>
      <c r="F101" s="34"/>
      <c r="G101" s="34"/>
      <c r="H101" s="34"/>
      <c r="I101" s="34"/>
      <c r="J101" s="39"/>
      <c r="K101" s="34"/>
      <c r="L101" s="34"/>
      <c r="M101" s="34"/>
      <c r="N101" s="34"/>
      <c r="O101" s="34"/>
      <c r="P101" s="39"/>
      <c r="R101" s="40"/>
      <c r="S101" s="40"/>
      <c r="T101" s="40"/>
      <c r="U101" s="40"/>
    </row>
    <row r="102" spans="4:21" s="37" customFormat="1" ht="15.75" customHeight="1" x14ac:dyDescent="0.35">
      <c r="D102" s="40"/>
      <c r="E102" s="34"/>
      <c r="F102" s="34"/>
      <c r="G102" s="34"/>
      <c r="H102" s="34"/>
      <c r="I102" s="34"/>
      <c r="J102" s="39"/>
      <c r="K102" s="34"/>
      <c r="L102" s="34"/>
      <c r="M102" s="34"/>
      <c r="N102" s="34"/>
      <c r="O102" s="34"/>
      <c r="P102" s="39"/>
      <c r="R102" s="40"/>
      <c r="S102" s="40"/>
      <c r="T102" s="40"/>
      <c r="U102" s="40"/>
    </row>
    <row r="103" spans="4:21" s="37" customFormat="1" ht="15.75" customHeight="1" x14ac:dyDescent="0.35">
      <c r="D103" s="40"/>
      <c r="E103" s="34"/>
      <c r="F103" s="34"/>
      <c r="G103" s="34"/>
      <c r="H103" s="34"/>
      <c r="I103" s="34"/>
      <c r="J103" s="39"/>
      <c r="K103" s="34"/>
      <c r="L103" s="34"/>
      <c r="M103" s="34"/>
      <c r="N103" s="34"/>
      <c r="O103" s="34"/>
      <c r="P103" s="39"/>
      <c r="R103" s="40"/>
      <c r="S103" s="40"/>
      <c r="T103" s="40"/>
      <c r="U103" s="40"/>
    </row>
    <row r="104" spans="4:21" s="37" customFormat="1" ht="15.75" customHeight="1" x14ac:dyDescent="0.35">
      <c r="D104" s="40"/>
      <c r="E104" s="34"/>
      <c r="F104" s="34"/>
      <c r="G104" s="34"/>
      <c r="H104" s="34"/>
      <c r="I104" s="34"/>
      <c r="J104" s="39"/>
      <c r="K104" s="34"/>
      <c r="L104" s="34"/>
      <c r="M104" s="34"/>
      <c r="N104" s="34"/>
      <c r="O104" s="34"/>
      <c r="P104" s="39"/>
      <c r="R104" s="40"/>
      <c r="S104" s="40"/>
      <c r="T104" s="40"/>
      <c r="U104" s="40"/>
    </row>
    <row r="105" spans="4:21" s="37" customFormat="1" ht="15.75" customHeight="1" x14ac:dyDescent="0.35">
      <c r="D105" s="40"/>
      <c r="E105" s="34"/>
      <c r="F105" s="34"/>
      <c r="G105" s="34"/>
      <c r="H105" s="34"/>
      <c r="I105" s="34"/>
      <c r="J105" s="39"/>
      <c r="K105" s="34"/>
      <c r="L105" s="34"/>
      <c r="M105" s="34"/>
      <c r="N105" s="34"/>
      <c r="O105" s="34"/>
      <c r="P105" s="39"/>
      <c r="R105" s="40"/>
      <c r="S105" s="40"/>
      <c r="T105" s="40"/>
      <c r="U105" s="40"/>
    </row>
    <row r="106" spans="4:21" s="37" customFormat="1" ht="15.75" customHeight="1" x14ac:dyDescent="0.35">
      <c r="D106" s="40"/>
      <c r="E106" s="34"/>
      <c r="F106" s="34"/>
      <c r="G106" s="34"/>
      <c r="H106" s="34"/>
      <c r="I106" s="34"/>
      <c r="J106" s="39"/>
      <c r="K106" s="34"/>
      <c r="L106" s="34"/>
      <c r="M106" s="34"/>
      <c r="N106" s="34"/>
      <c r="O106" s="34"/>
      <c r="P106" s="39"/>
      <c r="R106" s="40"/>
      <c r="S106" s="40"/>
      <c r="T106" s="40"/>
      <c r="U106" s="40"/>
    </row>
    <row r="107" spans="4:21" s="37" customFormat="1" ht="15.75" customHeight="1" x14ac:dyDescent="0.35">
      <c r="D107" s="40"/>
      <c r="E107" s="34"/>
      <c r="F107" s="34"/>
      <c r="G107" s="34"/>
      <c r="H107" s="34"/>
      <c r="I107" s="34"/>
      <c r="J107" s="39"/>
      <c r="K107" s="34"/>
      <c r="L107" s="34"/>
      <c r="M107" s="34"/>
      <c r="N107" s="34"/>
      <c r="O107" s="34"/>
      <c r="P107" s="39"/>
      <c r="R107" s="40"/>
      <c r="S107" s="40"/>
      <c r="T107" s="40"/>
      <c r="U107" s="40"/>
    </row>
    <row r="108" spans="4:21" s="37" customFormat="1" ht="15.75" customHeight="1" x14ac:dyDescent="0.35">
      <c r="D108" s="40"/>
      <c r="E108" s="34"/>
      <c r="F108" s="34"/>
      <c r="G108" s="34"/>
      <c r="H108" s="34"/>
      <c r="I108" s="34"/>
      <c r="J108" s="39"/>
      <c r="K108" s="34"/>
      <c r="L108" s="34"/>
      <c r="M108" s="34"/>
      <c r="N108" s="34"/>
      <c r="O108" s="34"/>
      <c r="P108" s="39"/>
      <c r="R108" s="40"/>
      <c r="S108" s="40"/>
      <c r="T108" s="40"/>
      <c r="U108" s="40"/>
    </row>
    <row r="109" spans="4:21" s="37" customFormat="1" ht="15.75" customHeight="1" x14ac:dyDescent="0.35">
      <c r="D109" s="40"/>
      <c r="E109" s="34"/>
      <c r="F109" s="34"/>
      <c r="G109" s="34"/>
      <c r="H109" s="34"/>
      <c r="I109" s="34"/>
      <c r="J109" s="39"/>
      <c r="K109" s="34"/>
      <c r="L109" s="34"/>
      <c r="M109" s="34"/>
      <c r="N109" s="34"/>
      <c r="O109" s="34"/>
      <c r="P109" s="39"/>
      <c r="R109" s="40"/>
      <c r="S109" s="40"/>
      <c r="T109" s="40"/>
      <c r="U109" s="40"/>
    </row>
    <row r="110" spans="4:21" s="37" customFormat="1" ht="15.75" customHeight="1" x14ac:dyDescent="0.35">
      <c r="D110" s="40"/>
      <c r="E110" s="34"/>
      <c r="F110" s="34"/>
      <c r="G110" s="34"/>
      <c r="H110" s="34"/>
      <c r="I110" s="34"/>
      <c r="J110" s="39"/>
      <c r="K110" s="34"/>
      <c r="L110" s="34"/>
      <c r="M110" s="34"/>
      <c r="N110" s="34"/>
      <c r="O110" s="34"/>
      <c r="P110" s="39"/>
      <c r="R110" s="40"/>
      <c r="S110" s="40"/>
      <c r="T110" s="40"/>
      <c r="U110" s="40"/>
    </row>
    <row r="111" spans="4:21" s="37" customFormat="1" ht="15.75" customHeight="1" x14ac:dyDescent="0.35">
      <c r="D111" s="40"/>
      <c r="E111" s="34"/>
      <c r="F111" s="34"/>
      <c r="G111" s="34"/>
      <c r="H111" s="34"/>
      <c r="I111" s="34"/>
      <c r="J111" s="39"/>
      <c r="K111" s="34"/>
      <c r="L111" s="34"/>
      <c r="M111" s="34"/>
      <c r="N111" s="34"/>
      <c r="O111" s="34"/>
      <c r="P111" s="39"/>
      <c r="R111" s="40"/>
      <c r="S111" s="40"/>
      <c r="T111" s="40"/>
      <c r="U111" s="40"/>
    </row>
    <row r="112" spans="4:21" s="37" customFormat="1" ht="15.75" customHeight="1" x14ac:dyDescent="0.35">
      <c r="D112" s="40"/>
      <c r="E112" s="34"/>
      <c r="F112" s="34"/>
      <c r="G112" s="34"/>
      <c r="H112" s="34"/>
      <c r="I112" s="34"/>
      <c r="J112" s="39"/>
      <c r="K112" s="34"/>
      <c r="L112" s="34"/>
      <c r="M112" s="34"/>
      <c r="N112" s="34"/>
      <c r="O112" s="34"/>
      <c r="P112" s="39"/>
      <c r="R112" s="40"/>
      <c r="S112" s="40"/>
      <c r="T112" s="40"/>
      <c r="U112" s="40"/>
    </row>
    <row r="113" spans="4:21" s="37" customFormat="1" ht="15.75" customHeight="1" x14ac:dyDescent="0.35">
      <c r="D113" s="40"/>
      <c r="E113" s="34"/>
      <c r="F113" s="34"/>
      <c r="G113" s="34"/>
      <c r="H113" s="34"/>
      <c r="I113" s="34"/>
      <c r="J113" s="39"/>
      <c r="K113" s="34"/>
      <c r="L113" s="34"/>
      <c r="M113" s="34"/>
      <c r="N113" s="34"/>
      <c r="O113" s="34"/>
      <c r="P113" s="39"/>
      <c r="R113" s="40"/>
      <c r="S113" s="40"/>
      <c r="T113" s="40"/>
      <c r="U113" s="40"/>
    </row>
    <row r="114" spans="4:21" s="37" customFormat="1" ht="15.75" customHeight="1" x14ac:dyDescent="0.35">
      <c r="D114" s="40"/>
      <c r="E114" s="34"/>
      <c r="F114" s="34"/>
      <c r="G114" s="34"/>
      <c r="H114" s="34"/>
      <c r="I114" s="34"/>
      <c r="J114" s="39"/>
      <c r="K114" s="34"/>
      <c r="L114" s="34"/>
      <c r="M114" s="34"/>
      <c r="N114" s="34"/>
      <c r="O114" s="34"/>
      <c r="P114" s="39"/>
      <c r="R114" s="40"/>
      <c r="S114" s="40"/>
      <c r="T114" s="40"/>
      <c r="U114" s="40"/>
    </row>
    <row r="115" spans="4:21" s="37" customFormat="1" ht="15.75" customHeight="1" x14ac:dyDescent="0.35">
      <c r="D115" s="40"/>
      <c r="E115" s="34"/>
      <c r="F115" s="34"/>
      <c r="G115" s="34"/>
      <c r="H115" s="34"/>
      <c r="I115" s="34"/>
      <c r="J115" s="39"/>
      <c r="K115" s="34"/>
      <c r="L115" s="34"/>
      <c r="M115" s="34"/>
      <c r="N115" s="34"/>
      <c r="O115" s="34"/>
      <c r="P115" s="39"/>
      <c r="R115" s="40"/>
      <c r="S115" s="40"/>
      <c r="T115" s="40"/>
      <c r="U115" s="40"/>
    </row>
    <row r="116" spans="4:21" s="37" customFormat="1" ht="15.75" customHeight="1" x14ac:dyDescent="0.35">
      <c r="D116" s="40"/>
      <c r="E116" s="34"/>
      <c r="F116" s="34"/>
      <c r="G116" s="34"/>
      <c r="H116" s="34"/>
      <c r="I116" s="34"/>
      <c r="J116" s="39"/>
      <c r="K116" s="34"/>
      <c r="L116" s="34"/>
      <c r="M116" s="34"/>
      <c r="N116" s="34"/>
      <c r="O116" s="34"/>
      <c r="P116" s="39"/>
      <c r="R116" s="40"/>
      <c r="S116" s="40"/>
      <c r="T116" s="40"/>
      <c r="U116" s="40"/>
    </row>
    <row r="117" spans="4:21" s="37" customFormat="1" ht="15.75" customHeight="1" x14ac:dyDescent="0.35">
      <c r="D117" s="40"/>
      <c r="E117" s="34"/>
      <c r="F117" s="34"/>
      <c r="G117" s="34"/>
      <c r="H117" s="34"/>
      <c r="I117" s="34"/>
      <c r="J117" s="39"/>
      <c r="K117" s="34"/>
      <c r="L117" s="34"/>
      <c r="M117" s="34"/>
      <c r="N117" s="34"/>
      <c r="O117" s="34"/>
      <c r="P117" s="39"/>
      <c r="R117" s="40"/>
      <c r="S117" s="40"/>
      <c r="T117" s="40"/>
      <c r="U117" s="40"/>
    </row>
    <row r="118" spans="4:21" s="37" customFormat="1" ht="15.75" customHeight="1" x14ac:dyDescent="0.35">
      <c r="D118" s="40"/>
      <c r="E118" s="34"/>
      <c r="F118" s="34"/>
      <c r="G118" s="34"/>
      <c r="H118" s="34"/>
      <c r="I118" s="34"/>
      <c r="J118" s="39"/>
      <c r="K118" s="34"/>
      <c r="L118" s="34"/>
      <c r="M118" s="34"/>
      <c r="N118" s="34"/>
      <c r="O118" s="34"/>
      <c r="P118" s="39"/>
      <c r="R118" s="40"/>
      <c r="S118" s="40"/>
      <c r="T118" s="40"/>
      <c r="U118" s="40"/>
    </row>
    <row r="119" spans="4:21" s="37" customFormat="1" ht="15.75" customHeight="1" x14ac:dyDescent="0.35">
      <c r="D119" s="40"/>
      <c r="E119" s="34"/>
      <c r="F119" s="34"/>
      <c r="G119" s="34"/>
      <c r="H119" s="34"/>
      <c r="I119" s="34"/>
      <c r="J119" s="39"/>
      <c r="K119" s="34"/>
      <c r="L119" s="34"/>
      <c r="M119" s="34"/>
      <c r="N119" s="34"/>
      <c r="O119" s="34"/>
      <c r="P119" s="39"/>
      <c r="R119" s="40"/>
      <c r="S119" s="40"/>
      <c r="T119" s="40"/>
      <c r="U119" s="40"/>
    </row>
    <row r="120" spans="4:21" s="37" customFormat="1" ht="15.75" customHeight="1" x14ac:dyDescent="0.35">
      <c r="D120" s="40"/>
      <c r="E120" s="34"/>
      <c r="F120" s="34"/>
      <c r="G120" s="34"/>
      <c r="H120" s="34"/>
      <c r="I120" s="34"/>
      <c r="J120" s="39"/>
      <c r="K120" s="34"/>
      <c r="L120" s="34"/>
      <c r="M120" s="34"/>
      <c r="N120" s="34"/>
      <c r="O120" s="34"/>
      <c r="P120" s="39"/>
      <c r="R120" s="40"/>
      <c r="S120" s="40"/>
      <c r="T120" s="40"/>
      <c r="U120" s="40"/>
    </row>
    <row r="121" spans="4:21" s="37" customFormat="1" ht="15.75" customHeight="1" x14ac:dyDescent="0.35">
      <c r="D121" s="40"/>
      <c r="E121" s="34"/>
      <c r="F121" s="34"/>
      <c r="G121" s="34"/>
      <c r="H121" s="34"/>
      <c r="I121" s="34"/>
      <c r="J121" s="39"/>
      <c r="K121" s="34"/>
      <c r="L121" s="34"/>
      <c r="M121" s="34"/>
      <c r="N121" s="34"/>
      <c r="O121" s="34"/>
      <c r="P121" s="39"/>
      <c r="R121" s="40"/>
      <c r="S121" s="40"/>
      <c r="T121" s="40"/>
      <c r="U121" s="40"/>
    </row>
    <row r="122" spans="4:21" s="37" customFormat="1" ht="15.75" customHeight="1" x14ac:dyDescent="0.35">
      <c r="D122" s="40"/>
      <c r="E122" s="34"/>
      <c r="F122" s="34"/>
      <c r="G122" s="34"/>
      <c r="H122" s="34"/>
      <c r="I122" s="34"/>
      <c r="J122" s="39"/>
      <c r="K122" s="34"/>
      <c r="L122" s="34"/>
      <c r="M122" s="34"/>
      <c r="N122" s="34"/>
      <c r="O122" s="34"/>
      <c r="P122" s="39"/>
      <c r="R122" s="40"/>
      <c r="S122" s="40"/>
      <c r="T122" s="40"/>
      <c r="U122" s="40"/>
    </row>
    <row r="123" spans="4:21" s="37" customFormat="1" ht="15.75" customHeight="1" x14ac:dyDescent="0.35">
      <c r="D123" s="40"/>
      <c r="E123" s="34"/>
      <c r="F123" s="34"/>
      <c r="G123" s="34"/>
      <c r="H123" s="34"/>
      <c r="I123" s="34"/>
      <c r="J123" s="39"/>
      <c r="K123" s="34"/>
      <c r="L123" s="34"/>
      <c r="M123" s="34"/>
      <c r="N123" s="34"/>
      <c r="O123" s="34"/>
      <c r="P123" s="39"/>
      <c r="R123" s="40"/>
      <c r="S123" s="40"/>
      <c r="T123" s="40"/>
      <c r="U123" s="40"/>
    </row>
    <row r="124" spans="4:21" s="37" customFormat="1" ht="15.75" customHeight="1" x14ac:dyDescent="0.35">
      <c r="D124" s="40"/>
      <c r="E124" s="34"/>
      <c r="F124" s="34"/>
      <c r="G124" s="34"/>
      <c r="H124" s="34"/>
      <c r="I124" s="34"/>
      <c r="J124" s="39"/>
      <c r="K124" s="34"/>
      <c r="L124" s="34"/>
      <c r="M124" s="34"/>
      <c r="N124" s="34"/>
      <c r="O124" s="34"/>
      <c r="P124" s="39"/>
      <c r="R124" s="40"/>
      <c r="S124" s="40"/>
      <c r="T124" s="40"/>
      <c r="U124" s="40"/>
    </row>
    <row r="125" spans="4:21" s="37" customFormat="1" ht="15.75" customHeight="1" x14ac:dyDescent="0.35">
      <c r="D125" s="40"/>
      <c r="E125" s="34"/>
      <c r="F125" s="34"/>
      <c r="G125" s="34"/>
      <c r="H125" s="34"/>
      <c r="I125" s="34"/>
      <c r="J125" s="39"/>
      <c r="K125" s="34"/>
      <c r="L125" s="34"/>
      <c r="M125" s="34"/>
      <c r="N125" s="34"/>
      <c r="O125" s="34"/>
      <c r="P125" s="39"/>
      <c r="R125" s="40"/>
      <c r="S125" s="40"/>
      <c r="T125" s="40"/>
      <c r="U125" s="40"/>
    </row>
    <row r="126" spans="4:21" s="37" customFormat="1" ht="15.75" customHeight="1" x14ac:dyDescent="0.35">
      <c r="D126" s="40"/>
      <c r="E126" s="34"/>
      <c r="F126" s="34"/>
      <c r="G126" s="34"/>
      <c r="H126" s="34"/>
      <c r="I126" s="34"/>
      <c r="J126" s="39"/>
      <c r="K126" s="34"/>
      <c r="L126" s="34"/>
      <c r="M126" s="34"/>
      <c r="N126" s="34"/>
      <c r="O126" s="34"/>
      <c r="P126" s="39"/>
      <c r="R126" s="40"/>
      <c r="S126" s="40"/>
      <c r="T126" s="40"/>
      <c r="U126" s="40"/>
    </row>
    <row r="127" spans="4:21" s="37" customFormat="1" ht="15.75" customHeight="1" x14ac:dyDescent="0.35">
      <c r="D127" s="40"/>
      <c r="E127" s="34"/>
      <c r="F127" s="34"/>
      <c r="G127" s="34"/>
      <c r="H127" s="34"/>
      <c r="I127" s="34"/>
      <c r="J127" s="39"/>
      <c r="K127" s="34"/>
      <c r="L127" s="34"/>
      <c r="M127" s="34"/>
      <c r="N127" s="34"/>
      <c r="O127" s="34"/>
      <c r="P127" s="39"/>
      <c r="R127" s="40"/>
      <c r="S127" s="40"/>
      <c r="T127" s="40"/>
      <c r="U127" s="40"/>
    </row>
    <row r="128" spans="4:21" s="37" customFormat="1" ht="15.75" customHeight="1" x14ac:dyDescent="0.35">
      <c r="D128" s="40"/>
      <c r="E128" s="34"/>
      <c r="F128" s="34"/>
      <c r="G128" s="34"/>
      <c r="H128" s="34"/>
      <c r="I128" s="34"/>
      <c r="J128" s="39"/>
      <c r="K128" s="34"/>
      <c r="L128" s="34"/>
      <c r="M128" s="34"/>
      <c r="N128" s="34"/>
      <c r="O128" s="34"/>
      <c r="P128" s="39"/>
      <c r="R128" s="40"/>
      <c r="S128" s="40"/>
      <c r="T128" s="40"/>
      <c r="U128" s="40"/>
    </row>
    <row r="129" spans="4:21" s="37" customFormat="1" ht="15.75" customHeight="1" x14ac:dyDescent="0.35">
      <c r="D129" s="40"/>
      <c r="E129" s="34"/>
      <c r="F129" s="34"/>
      <c r="G129" s="34"/>
      <c r="H129" s="34"/>
      <c r="I129" s="34"/>
      <c r="J129" s="39"/>
      <c r="K129" s="34"/>
      <c r="L129" s="34"/>
      <c r="M129" s="34"/>
      <c r="N129" s="34"/>
      <c r="O129" s="34"/>
      <c r="P129" s="39"/>
      <c r="R129" s="40"/>
      <c r="S129" s="40"/>
      <c r="T129" s="40"/>
      <c r="U129" s="40"/>
    </row>
    <row r="130" spans="4:21" s="37" customFormat="1" ht="15.75" customHeight="1" x14ac:dyDescent="0.35">
      <c r="D130" s="40"/>
      <c r="E130" s="34"/>
      <c r="F130" s="34"/>
      <c r="G130" s="34"/>
      <c r="H130" s="34"/>
      <c r="I130" s="34"/>
      <c r="J130" s="39"/>
      <c r="K130" s="34"/>
      <c r="L130" s="34"/>
      <c r="M130" s="34"/>
      <c r="N130" s="34"/>
      <c r="O130" s="34"/>
      <c r="P130" s="39"/>
      <c r="R130" s="40"/>
      <c r="S130" s="40"/>
      <c r="T130" s="40"/>
      <c r="U130" s="40"/>
    </row>
    <row r="131" spans="4:21" s="37" customFormat="1" ht="15.75" customHeight="1" x14ac:dyDescent="0.35">
      <c r="D131" s="40"/>
      <c r="E131" s="34"/>
      <c r="F131" s="34"/>
      <c r="G131" s="34"/>
      <c r="H131" s="34"/>
      <c r="I131" s="34"/>
      <c r="J131" s="39"/>
      <c r="K131" s="34"/>
      <c r="L131" s="34"/>
      <c r="M131" s="34"/>
      <c r="N131" s="34"/>
      <c r="O131" s="34"/>
      <c r="P131" s="39"/>
      <c r="R131" s="40"/>
      <c r="S131" s="40"/>
      <c r="T131" s="40"/>
      <c r="U131" s="40"/>
    </row>
    <row r="132" spans="4:21" s="37" customFormat="1" ht="15.75" customHeight="1" x14ac:dyDescent="0.35">
      <c r="D132" s="40"/>
      <c r="E132" s="34"/>
      <c r="F132" s="34"/>
      <c r="G132" s="34"/>
      <c r="H132" s="34"/>
      <c r="I132" s="34"/>
      <c r="J132" s="39"/>
      <c r="K132" s="34"/>
      <c r="L132" s="34"/>
      <c r="M132" s="34"/>
      <c r="N132" s="34"/>
      <c r="O132" s="34"/>
      <c r="P132" s="39"/>
      <c r="R132" s="40"/>
      <c r="S132" s="40"/>
      <c r="T132" s="40"/>
      <c r="U132" s="40"/>
    </row>
    <row r="133" spans="4:21" s="37" customFormat="1" ht="15.75" customHeight="1" x14ac:dyDescent="0.35">
      <c r="D133" s="40"/>
      <c r="E133" s="34"/>
      <c r="F133" s="34"/>
      <c r="G133" s="34"/>
      <c r="H133" s="34"/>
      <c r="I133" s="34"/>
      <c r="J133" s="39"/>
      <c r="K133" s="34"/>
      <c r="L133" s="34"/>
      <c r="M133" s="34"/>
      <c r="N133" s="34"/>
      <c r="O133" s="34"/>
      <c r="P133" s="39"/>
      <c r="R133" s="40"/>
      <c r="S133" s="40"/>
      <c r="T133" s="40"/>
      <c r="U133" s="40"/>
    </row>
    <row r="134" spans="4:21" s="37" customFormat="1" ht="15.75" customHeight="1" x14ac:dyDescent="0.35">
      <c r="D134" s="40"/>
      <c r="E134" s="34"/>
      <c r="F134" s="34"/>
      <c r="G134" s="34"/>
      <c r="H134" s="34"/>
      <c r="I134" s="34"/>
      <c r="J134" s="39"/>
      <c r="K134" s="34"/>
      <c r="L134" s="34"/>
      <c r="M134" s="34"/>
      <c r="N134" s="34"/>
      <c r="O134" s="34"/>
      <c r="P134" s="39"/>
      <c r="R134" s="40"/>
      <c r="S134" s="40"/>
      <c r="T134" s="40"/>
      <c r="U134" s="40"/>
    </row>
    <row r="135" spans="4:21" s="37" customFormat="1" ht="15.75" customHeight="1" x14ac:dyDescent="0.35">
      <c r="D135" s="40"/>
      <c r="E135" s="34"/>
      <c r="F135" s="34"/>
      <c r="G135" s="34"/>
      <c r="H135" s="34"/>
      <c r="I135" s="34"/>
      <c r="J135" s="39"/>
      <c r="K135" s="34"/>
      <c r="L135" s="34"/>
      <c r="M135" s="34"/>
      <c r="N135" s="34"/>
      <c r="O135" s="34"/>
      <c r="P135" s="39"/>
      <c r="R135" s="40"/>
      <c r="S135" s="40"/>
      <c r="T135" s="40"/>
      <c r="U135" s="40"/>
    </row>
    <row r="136" spans="4:21" s="37" customFormat="1" ht="15.75" customHeight="1" x14ac:dyDescent="0.35">
      <c r="D136" s="40"/>
      <c r="E136" s="34"/>
      <c r="F136" s="34"/>
      <c r="G136" s="34"/>
      <c r="H136" s="34"/>
      <c r="I136" s="34"/>
      <c r="J136" s="39"/>
      <c r="K136" s="34"/>
      <c r="L136" s="34"/>
      <c r="M136" s="34"/>
      <c r="N136" s="34"/>
      <c r="O136" s="34"/>
      <c r="P136" s="39"/>
      <c r="R136" s="40"/>
      <c r="S136" s="40"/>
      <c r="T136" s="40"/>
      <c r="U136" s="40"/>
    </row>
    <row r="137" spans="4:21" s="37" customFormat="1" ht="15.75" customHeight="1" x14ac:dyDescent="0.35">
      <c r="D137" s="40"/>
      <c r="E137" s="34"/>
      <c r="F137" s="34"/>
      <c r="G137" s="34"/>
      <c r="H137" s="34"/>
      <c r="I137" s="34"/>
      <c r="J137" s="39"/>
      <c r="K137" s="34"/>
      <c r="L137" s="34"/>
      <c r="M137" s="34"/>
      <c r="N137" s="34"/>
      <c r="O137" s="34"/>
      <c r="P137" s="39"/>
      <c r="R137" s="40"/>
      <c r="S137" s="40"/>
      <c r="T137" s="40"/>
      <c r="U137" s="40"/>
    </row>
    <row r="138" spans="4:21" s="37" customFormat="1" ht="15.75" customHeight="1" x14ac:dyDescent="0.35">
      <c r="D138" s="40"/>
      <c r="E138" s="34"/>
      <c r="F138" s="34"/>
      <c r="G138" s="34"/>
      <c r="H138" s="34"/>
      <c r="I138" s="34"/>
      <c r="J138" s="39"/>
      <c r="K138" s="34"/>
      <c r="L138" s="34"/>
      <c r="M138" s="34"/>
      <c r="N138" s="34"/>
      <c r="O138" s="34"/>
      <c r="P138" s="39"/>
      <c r="R138" s="40"/>
      <c r="S138" s="40"/>
      <c r="T138" s="40"/>
      <c r="U138" s="40"/>
    </row>
    <row r="139" spans="4:21" s="37" customFormat="1" ht="15.75" customHeight="1" x14ac:dyDescent="0.35">
      <c r="D139" s="40"/>
      <c r="E139" s="34"/>
      <c r="F139" s="34"/>
      <c r="G139" s="34"/>
      <c r="H139" s="34"/>
      <c r="I139" s="34"/>
      <c r="J139" s="39"/>
      <c r="K139" s="34"/>
      <c r="L139" s="34"/>
      <c r="M139" s="34"/>
      <c r="N139" s="34"/>
      <c r="O139" s="34"/>
      <c r="P139" s="39"/>
      <c r="R139" s="40"/>
      <c r="S139" s="40"/>
      <c r="T139" s="40"/>
      <c r="U139" s="40"/>
    </row>
    <row r="140" spans="4:21" s="37" customFormat="1" ht="15.75" customHeight="1" x14ac:dyDescent="0.35">
      <c r="D140" s="40"/>
      <c r="E140" s="34"/>
      <c r="F140" s="34"/>
      <c r="G140" s="34"/>
      <c r="H140" s="34"/>
      <c r="I140" s="34"/>
      <c r="J140" s="39"/>
      <c r="K140" s="34"/>
      <c r="L140" s="34"/>
      <c r="M140" s="34"/>
      <c r="N140" s="34"/>
      <c r="O140" s="34"/>
      <c r="P140" s="39"/>
      <c r="R140" s="40"/>
      <c r="S140" s="40"/>
      <c r="T140" s="40"/>
      <c r="U140" s="40"/>
    </row>
    <row r="141" spans="4:21" s="37" customFormat="1" ht="15.75" customHeight="1" x14ac:dyDescent="0.35">
      <c r="D141" s="40"/>
      <c r="E141" s="34"/>
      <c r="F141" s="34"/>
      <c r="G141" s="34"/>
      <c r="H141" s="34"/>
      <c r="I141" s="34"/>
      <c r="J141" s="39"/>
      <c r="K141" s="34"/>
      <c r="L141" s="34"/>
      <c r="M141" s="34"/>
      <c r="N141" s="34"/>
      <c r="O141" s="34"/>
      <c r="P141" s="39"/>
      <c r="R141" s="40"/>
      <c r="S141" s="40"/>
      <c r="T141" s="40"/>
      <c r="U141" s="40"/>
    </row>
    <row r="142" spans="4:21" s="37" customFormat="1" ht="15.75" customHeight="1" x14ac:dyDescent="0.35">
      <c r="D142" s="40"/>
      <c r="E142" s="34"/>
      <c r="F142" s="34"/>
      <c r="G142" s="34"/>
      <c r="H142" s="34"/>
      <c r="I142" s="34"/>
      <c r="J142" s="39"/>
      <c r="K142" s="34"/>
      <c r="L142" s="34"/>
      <c r="M142" s="34"/>
      <c r="N142" s="34"/>
      <c r="O142" s="34"/>
      <c r="P142" s="39"/>
      <c r="R142" s="40"/>
      <c r="S142" s="40"/>
      <c r="T142" s="40"/>
      <c r="U142" s="40"/>
    </row>
    <row r="143" spans="4:21" s="37" customFormat="1" ht="15.75" customHeight="1" x14ac:dyDescent="0.35">
      <c r="D143" s="40"/>
      <c r="E143" s="34"/>
      <c r="F143" s="34"/>
      <c r="G143" s="34"/>
      <c r="H143" s="34"/>
      <c r="I143" s="34"/>
      <c r="J143" s="39"/>
      <c r="K143" s="34"/>
      <c r="L143" s="34"/>
      <c r="M143" s="34"/>
      <c r="N143" s="34"/>
      <c r="O143" s="34"/>
      <c r="P143" s="39"/>
      <c r="R143" s="40"/>
      <c r="S143" s="40"/>
      <c r="T143" s="40"/>
      <c r="U143" s="40"/>
    </row>
    <row r="144" spans="4:21" s="37" customFormat="1" ht="15.75" customHeight="1" x14ac:dyDescent="0.35">
      <c r="D144" s="40"/>
      <c r="E144" s="34"/>
      <c r="F144" s="34"/>
      <c r="G144" s="34"/>
      <c r="H144" s="34"/>
      <c r="I144" s="34"/>
      <c r="J144" s="39"/>
      <c r="K144" s="34"/>
      <c r="L144" s="34"/>
      <c r="M144" s="34"/>
      <c r="N144" s="34"/>
      <c r="O144" s="34"/>
      <c r="P144" s="39"/>
      <c r="R144" s="40"/>
      <c r="S144" s="40"/>
      <c r="T144" s="40"/>
      <c r="U144" s="40"/>
    </row>
    <row r="145" spans="4:21" s="37" customFormat="1" ht="15.75" customHeight="1" x14ac:dyDescent="0.35">
      <c r="D145" s="40"/>
      <c r="E145" s="34"/>
      <c r="F145" s="34"/>
      <c r="G145" s="34"/>
      <c r="H145" s="34"/>
      <c r="I145" s="34"/>
      <c r="J145" s="39"/>
      <c r="K145" s="34"/>
      <c r="L145" s="34"/>
      <c r="M145" s="34"/>
      <c r="N145" s="34"/>
      <c r="O145" s="34"/>
      <c r="P145" s="39"/>
      <c r="R145" s="40"/>
      <c r="S145" s="40"/>
      <c r="T145" s="40"/>
      <c r="U145" s="40"/>
    </row>
    <row r="146" spans="4:21" s="37" customFormat="1" ht="15.75" customHeight="1" x14ac:dyDescent="0.35">
      <c r="D146" s="40"/>
      <c r="E146" s="34"/>
      <c r="F146" s="34"/>
      <c r="G146" s="34"/>
      <c r="H146" s="34"/>
      <c r="I146" s="34"/>
      <c r="J146" s="39"/>
      <c r="K146" s="34"/>
      <c r="L146" s="34"/>
      <c r="M146" s="34"/>
      <c r="N146" s="34"/>
      <c r="O146" s="34"/>
      <c r="P146" s="39"/>
      <c r="R146" s="40"/>
      <c r="S146" s="40"/>
      <c r="T146" s="40"/>
      <c r="U146" s="40"/>
    </row>
    <row r="147" spans="4:21" s="37" customFormat="1" ht="15.75" customHeight="1" x14ac:dyDescent="0.35">
      <c r="D147" s="40"/>
      <c r="E147" s="34"/>
      <c r="F147" s="34"/>
      <c r="G147" s="34"/>
      <c r="H147" s="34"/>
      <c r="I147" s="34"/>
      <c r="J147" s="39"/>
      <c r="K147" s="34"/>
      <c r="L147" s="34"/>
      <c r="M147" s="34"/>
      <c r="N147" s="34"/>
      <c r="O147" s="34"/>
      <c r="P147" s="39"/>
      <c r="R147" s="40"/>
      <c r="S147" s="40"/>
      <c r="T147" s="40"/>
      <c r="U147" s="40"/>
    </row>
    <row r="148" spans="4:21" s="37" customFormat="1" ht="15.75" customHeight="1" x14ac:dyDescent="0.35">
      <c r="D148" s="40"/>
      <c r="E148" s="34"/>
      <c r="F148" s="34"/>
      <c r="G148" s="34"/>
      <c r="H148" s="34"/>
      <c r="I148" s="34"/>
      <c r="J148" s="39"/>
      <c r="K148" s="34"/>
      <c r="L148" s="34"/>
      <c r="M148" s="34"/>
      <c r="N148" s="34"/>
      <c r="O148" s="34"/>
      <c r="P148" s="39"/>
      <c r="R148" s="40"/>
      <c r="S148" s="40"/>
      <c r="T148" s="40"/>
      <c r="U148" s="40"/>
    </row>
    <row r="149" spans="4:21" s="37" customFormat="1" ht="15.75" customHeight="1" x14ac:dyDescent="0.35">
      <c r="D149" s="40"/>
      <c r="E149" s="34"/>
      <c r="F149" s="34"/>
      <c r="G149" s="34"/>
      <c r="H149" s="34"/>
      <c r="I149" s="34"/>
      <c r="J149" s="39"/>
      <c r="K149" s="34"/>
      <c r="L149" s="34"/>
      <c r="M149" s="34"/>
      <c r="N149" s="34"/>
      <c r="O149" s="34"/>
      <c r="P149" s="39"/>
      <c r="R149" s="40"/>
      <c r="S149" s="40"/>
      <c r="T149" s="40"/>
      <c r="U149" s="40"/>
    </row>
    <row r="150" spans="4:21" s="37" customFormat="1" ht="15.75" customHeight="1" x14ac:dyDescent="0.35">
      <c r="D150" s="40"/>
      <c r="E150" s="34"/>
      <c r="F150" s="34"/>
      <c r="G150" s="34"/>
      <c r="H150" s="34"/>
      <c r="I150" s="34"/>
      <c r="J150" s="39"/>
      <c r="K150" s="34"/>
      <c r="L150" s="34"/>
      <c r="M150" s="34"/>
      <c r="N150" s="34"/>
      <c r="O150" s="34"/>
      <c r="P150" s="39"/>
      <c r="R150" s="40"/>
      <c r="S150" s="40"/>
      <c r="T150" s="40"/>
      <c r="U150" s="40"/>
    </row>
    <row r="151" spans="4:21" s="37" customFormat="1" ht="15.75" customHeight="1" x14ac:dyDescent="0.35">
      <c r="D151" s="40"/>
      <c r="E151" s="34"/>
      <c r="F151" s="34"/>
      <c r="G151" s="34"/>
      <c r="H151" s="34"/>
      <c r="I151" s="34"/>
      <c r="J151" s="39"/>
      <c r="K151" s="34"/>
      <c r="L151" s="34"/>
      <c r="M151" s="34"/>
      <c r="N151" s="34"/>
      <c r="O151" s="34"/>
      <c r="P151" s="39"/>
      <c r="R151" s="40"/>
      <c r="S151" s="40"/>
      <c r="T151" s="40"/>
      <c r="U151" s="40"/>
    </row>
    <row r="152" spans="4:21" s="37" customFormat="1" ht="15.75" customHeight="1" x14ac:dyDescent="0.35">
      <c r="D152" s="40"/>
      <c r="E152" s="34"/>
      <c r="F152" s="34"/>
      <c r="G152" s="34"/>
      <c r="H152" s="34"/>
      <c r="I152" s="34"/>
      <c r="J152" s="39"/>
      <c r="K152" s="34"/>
      <c r="L152" s="34"/>
      <c r="M152" s="34"/>
      <c r="N152" s="34"/>
      <c r="O152" s="34"/>
      <c r="P152" s="39"/>
      <c r="R152" s="40"/>
      <c r="S152" s="40"/>
      <c r="T152" s="40"/>
      <c r="U152" s="40"/>
    </row>
    <row r="153" spans="4:21" s="37" customFormat="1" ht="15.75" customHeight="1" x14ac:dyDescent="0.35">
      <c r="D153" s="40"/>
      <c r="E153" s="34"/>
      <c r="F153" s="34"/>
      <c r="G153" s="34"/>
      <c r="H153" s="34"/>
      <c r="I153" s="34"/>
      <c r="J153" s="39"/>
      <c r="K153" s="34"/>
      <c r="L153" s="34"/>
      <c r="M153" s="34"/>
      <c r="N153" s="34"/>
      <c r="O153" s="34"/>
      <c r="P153" s="39"/>
      <c r="R153" s="40"/>
      <c r="S153" s="40"/>
      <c r="T153" s="40"/>
      <c r="U153" s="40"/>
    </row>
    <row r="154" spans="4:21" s="37" customFormat="1" ht="15.75" customHeight="1" x14ac:dyDescent="0.35">
      <c r="D154" s="40"/>
      <c r="E154" s="34"/>
      <c r="F154" s="34"/>
      <c r="G154" s="34"/>
      <c r="H154" s="34"/>
      <c r="I154" s="34"/>
      <c r="J154" s="39"/>
      <c r="K154" s="34"/>
      <c r="L154" s="34"/>
      <c r="M154" s="34"/>
      <c r="N154" s="34"/>
      <c r="O154" s="34"/>
      <c r="P154" s="39"/>
      <c r="R154" s="40"/>
      <c r="S154" s="40"/>
      <c r="T154" s="40"/>
      <c r="U154" s="40"/>
    </row>
    <row r="155" spans="4:21" s="37" customFormat="1" ht="15.75" customHeight="1" x14ac:dyDescent="0.35">
      <c r="D155" s="40"/>
      <c r="E155" s="34"/>
      <c r="F155" s="34"/>
      <c r="G155" s="34"/>
      <c r="H155" s="34"/>
      <c r="I155" s="34"/>
      <c r="J155" s="39"/>
      <c r="K155" s="34"/>
      <c r="L155" s="34"/>
      <c r="M155" s="34"/>
      <c r="N155" s="34"/>
      <c r="O155" s="34"/>
      <c r="P155" s="39"/>
      <c r="R155" s="40"/>
      <c r="S155" s="40"/>
      <c r="T155" s="40"/>
      <c r="U155" s="40"/>
    </row>
    <row r="156" spans="4:21" s="37" customFormat="1" ht="15.75" customHeight="1" x14ac:dyDescent="0.35">
      <c r="D156" s="40"/>
      <c r="E156" s="34"/>
      <c r="F156" s="34"/>
      <c r="G156" s="34"/>
      <c r="H156" s="34"/>
      <c r="I156" s="34"/>
      <c r="J156" s="39"/>
      <c r="K156" s="34"/>
      <c r="L156" s="34"/>
      <c r="M156" s="34"/>
      <c r="N156" s="34"/>
      <c r="O156" s="34"/>
      <c r="P156" s="39"/>
      <c r="R156" s="40"/>
      <c r="S156" s="40"/>
      <c r="T156" s="40"/>
      <c r="U156" s="40"/>
    </row>
    <row r="157" spans="4:21" s="37" customFormat="1" ht="15.75" customHeight="1" x14ac:dyDescent="0.35">
      <c r="D157" s="40"/>
      <c r="E157" s="34"/>
      <c r="F157" s="34"/>
      <c r="G157" s="34"/>
      <c r="H157" s="34"/>
      <c r="I157" s="34"/>
      <c r="J157" s="39"/>
      <c r="K157" s="34"/>
      <c r="L157" s="34"/>
      <c r="M157" s="34"/>
      <c r="N157" s="34"/>
      <c r="O157" s="34"/>
      <c r="P157" s="39"/>
      <c r="R157" s="40"/>
      <c r="S157" s="40"/>
      <c r="T157" s="40"/>
      <c r="U157" s="40"/>
    </row>
    <row r="158" spans="4:21" s="37" customFormat="1" ht="15.75" customHeight="1" x14ac:dyDescent="0.35">
      <c r="D158" s="40"/>
      <c r="E158" s="34"/>
      <c r="F158" s="34"/>
      <c r="G158" s="34"/>
      <c r="H158" s="34"/>
      <c r="I158" s="34"/>
      <c r="J158" s="39"/>
      <c r="K158" s="34"/>
      <c r="L158" s="34"/>
      <c r="M158" s="34"/>
      <c r="N158" s="34"/>
      <c r="O158" s="34"/>
      <c r="P158" s="39"/>
      <c r="R158" s="40"/>
      <c r="S158" s="40"/>
      <c r="T158" s="40"/>
      <c r="U158" s="40"/>
    </row>
    <row r="159" spans="4:21" s="37" customFormat="1" ht="15.75" customHeight="1" x14ac:dyDescent="0.35">
      <c r="D159" s="40"/>
      <c r="E159" s="34"/>
      <c r="F159" s="34"/>
      <c r="G159" s="34"/>
      <c r="H159" s="34"/>
      <c r="I159" s="34"/>
      <c r="J159" s="39"/>
      <c r="K159" s="34"/>
      <c r="L159" s="34"/>
      <c r="M159" s="34"/>
      <c r="N159" s="34"/>
      <c r="O159" s="34"/>
      <c r="P159" s="39"/>
      <c r="R159" s="40"/>
      <c r="S159" s="40"/>
      <c r="T159" s="40"/>
      <c r="U159" s="40"/>
    </row>
    <row r="160" spans="4:21" s="37" customFormat="1" ht="15.75" customHeight="1" x14ac:dyDescent="0.35">
      <c r="D160" s="40"/>
      <c r="E160" s="34"/>
      <c r="F160" s="34"/>
      <c r="G160" s="34"/>
      <c r="H160" s="34"/>
      <c r="I160" s="34"/>
      <c r="J160" s="39"/>
      <c r="K160" s="34"/>
      <c r="L160" s="34"/>
      <c r="M160" s="34"/>
      <c r="N160" s="34"/>
      <c r="O160" s="34"/>
      <c r="P160" s="39"/>
      <c r="R160" s="40"/>
      <c r="S160" s="40"/>
      <c r="T160" s="40"/>
      <c r="U160" s="40"/>
    </row>
    <row r="161" spans="4:21" s="37" customFormat="1" ht="15.75" customHeight="1" x14ac:dyDescent="0.35">
      <c r="D161" s="40"/>
      <c r="E161" s="34"/>
      <c r="F161" s="34"/>
      <c r="G161" s="34"/>
      <c r="H161" s="34"/>
      <c r="I161" s="34"/>
      <c r="J161" s="39"/>
      <c r="K161" s="34"/>
      <c r="L161" s="34"/>
      <c r="M161" s="34"/>
      <c r="N161" s="34"/>
      <c r="O161" s="34"/>
      <c r="P161" s="39"/>
      <c r="R161" s="40"/>
      <c r="S161" s="40"/>
      <c r="T161" s="40"/>
      <c r="U161" s="40"/>
    </row>
    <row r="162" spans="4:21" s="37" customFormat="1" ht="15.75" customHeight="1" x14ac:dyDescent="0.35">
      <c r="D162" s="40"/>
      <c r="E162" s="34"/>
      <c r="F162" s="34"/>
      <c r="G162" s="34"/>
      <c r="H162" s="34"/>
      <c r="I162" s="34"/>
      <c r="J162" s="39"/>
      <c r="K162" s="34"/>
      <c r="L162" s="34"/>
      <c r="M162" s="34"/>
      <c r="N162" s="34"/>
      <c r="O162" s="34"/>
      <c r="P162" s="39"/>
      <c r="R162" s="40"/>
      <c r="S162" s="40"/>
      <c r="T162" s="40"/>
      <c r="U162" s="40"/>
    </row>
    <row r="163" spans="4:21" s="37" customFormat="1" ht="15.75" customHeight="1" x14ac:dyDescent="0.35">
      <c r="D163" s="40"/>
      <c r="E163" s="34"/>
      <c r="F163" s="34"/>
      <c r="G163" s="34"/>
      <c r="H163" s="34"/>
      <c r="I163" s="34"/>
      <c r="J163" s="39"/>
      <c r="K163" s="34"/>
      <c r="L163" s="34"/>
      <c r="M163" s="34"/>
      <c r="N163" s="34"/>
      <c r="O163" s="34"/>
      <c r="P163" s="39"/>
      <c r="R163" s="40"/>
      <c r="S163" s="40"/>
      <c r="T163" s="40"/>
      <c r="U163" s="40"/>
    </row>
    <row r="164" spans="4:21" s="37" customFormat="1" ht="15.75" customHeight="1" x14ac:dyDescent="0.35">
      <c r="D164" s="40"/>
      <c r="E164" s="34"/>
      <c r="F164" s="34"/>
      <c r="G164" s="34"/>
      <c r="H164" s="34"/>
      <c r="I164" s="34"/>
      <c r="J164" s="39"/>
      <c r="K164" s="34"/>
      <c r="L164" s="34"/>
      <c r="M164" s="34"/>
      <c r="N164" s="34"/>
      <c r="O164" s="34"/>
      <c r="P164" s="39"/>
      <c r="R164" s="40"/>
      <c r="S164" s="40"/>
      <c r="T164" s="40"/>
      <c r="U164" s="40"/>
    </row>
    <row r="165" spans="4:21" s="37" customFormat="1" ht="15.75" customHeight="1" x14ac:dyDescent="0.35">
      <c r="D165" s="40"/>
      <c r="E165" s="34"/>
      <c r="F165" s="34"/>
      <c r="G165" s="34"/>
      <c r="H165" s="34"/>
      <c r="I165" s="34"/>
      <c r="J165" s="39"/>
      <c r="K165" s="34"/>
      <c r="L165" s="34"/>
      <c r="M165" s="34"/>
      <c r="N165" s="34"/>
      <c r="O165" s="34"/>
      <c r="P165" s="39"/>
      <c r="R165" s="40"/>
      <c r="S165" s="40"/>
      <c r="T165" s="40"/>
      <c r="U165" s="40"/>
    </row>
    <row r="166" spans="4:21" s="37" customFormat="1" ht="15.75" customHeight="1" x14ac:dyDescent="0.35">
      <c r="D166" s="40"/>
      <c r="E166" s="34"/>
      <c r="F166" s="34"/>
      <c r="G166" s="34"/>
      <c r="H166" s="34"/>
      <c r="I166" s="34"/>
      <c r="J166" s="39"/>
      <c r="K166" s="34"/>
      <c r="L166" s="34"/>
      <c r="M166" s="34"/>
      <c r="N166" s="34"/>
      <c r="O166" s="34"/>
      <c r="P166" s="39"/>
      <c r="R166" s="40"/>
      <c r="S166" s="40"/>
      <c r="T166" s="40"/>
      <c r="U166" s="40"/>
    </row>
    <row r="167" spans="4:21" s="37" customFormat="1" ht="15.75" customHeight="1" x14ac:dyDescent="0.35">
      <c r="D167" s="40"/>
      <c r="E167" s="34"/>
      <c r="F167" s="34"/>
      <c r="G167" s="34"/>
      <c r="H167" s="34"/>
      <c r="I167" s="34"/>
      <c r="J167" s="39"/>
      <c r="K167" s="34"/>
      <c r="L167" s="34"/>
      <c r="M167" s="34"/>
      <c r="N167" s="34"/>
      <c r="O167" s="34"/>
      <c r="P167" s="39"/>
      <c r="R167" s="40"/>
      <c r="S167" s="40"/>
      <c r="T167" s="40"/>
      <c r="U167" s="40"/>
    </row>
    <row r="168" spans="4:21" s="37" customFormat="1" ht="15.75" customHeight="1" x14ac:dyDescent="0.35">
      <c r="D168" s="40"/>
      <c r="E168" s="34"/>
      <c r="F168" s="34"/>
      <c r="G168" s="34"/>
      <c r="H168" s="34"/>
      <c r="I168" s="34"/>
      <c r="J168" s="39"/>
      <c r="K168" s="34"/>
      <c r="L168" s="34"/>
      <c r="M168" s="34"/>
      <c r="N168" s="34"/>
      <c r="O168" s="34"/>
      <c r="P168" s="39"/>
      <c r="R168" s="40"/>
      <c r="S168" s="40"/>
      <c r="T168" s="40"/>
      <c r="U168" s="40"/>
    </row>
    <row r="169" spans="4:21" s="37" customFormat="1" ht="15.75" customHeight="1" x14ac:dyDescent="0.35">
      <c r="D169" s="40"/>
      <c r="E169" s="34"/>
      <c r="F169" s="34"/>
      <c r="G169" s="34"/>
      <c r="H169" s="34"/>
      <c r="I169" s="34"/>
      <c r="J169" s="39"/>
      <c r="K169" s="34"/>
      <c r="L169" s="34"/>
      <c r="M169" s="34"/>
      <c r="N169" s="34"/>
      <c r="O169" s="34"/>
      <c r="P169" s="39"/>
      <c r="R169" s="40"/>
      <c r="S169" s="40"/>
      <c r="T169" s="40"/>
      <c r="U169" s="40"/>
    </row>
    <row r="170" spans="4:21" s="37" customFormat="1" ht="15.75" customHeight="1" x14ac:dyDescent="0.35">
      <c r="D170" s="40"/>
      <c r="E170" s="34"/>
      <c r="F170" s="34"/>
      <c r="G170" s="34"/>
      <c r="H170" s="34"/>
      <c r="I170" s="34"/>
      <c r="J170" s="39"/>
      <c r="K170" s="34"/>
      <c r="L170" s="34"/>
      <c r="M170" s="34"/>
      <c r="N170" s="34"/>
      <c r="O170" s="34"/>
      <c r="P170" s="39"/>
      <c r="R170" s="40"/>
      <c r="S170" s="40"/>
      <c r="T170" s="40"/>
      <c r="U170" s="40"/>
    </row>
    <row r="171" spans="4:21" s="37" customFormat="1" ht="15.75" customHeight="1" x14ac:dyDescent="0.35">
      <c r="D171" s="40"/>
      <c r="E171" s="34"/>
      <c r="F171" s="34"/>
      <c r="G171" s="34"/>
      <c r="H171" s="34"/>
      <c r="I171" s="34"/>
      <c r="J171" s="39"/>
      <c r="K171" s="34"/>
      <c r="L171" s="34"/>
      <c r="M171" s="34"/>
      <c r="N171" s="34"/>
      <c r="O171" s="34"/>
      <c r="P171" s="39"/>
      <c r="R171" s="40"/>
      <c r="S171" s="40"/>
      <c r="T171" s="40"/>
      <c r="U171" s="40"/>
    </row>
    <row r="172" spans="4:21" s="37" customFormat="1" ht="15.75" customHeight="1" x14ac:dyDescent="0.35">
      <c r="D172" s="40"/>
      <c r="E172" s="34"/>
      <c r="F172" s="34"/>
      <c r="G172" s="34"/>
      <c r="H172" s="34"/>
      <c r="I172" s="34"/>
      <c r="J172" s="39"/>
      <c r="K172" s="34"/>
      <c r="L172" s="34"/>
      <c r="M172" s="34"/>
      <c r="N172" s="34"/>
      <c r="O172" s="34"/>
      <c r="P172" s="39"/>
      <c r="R172" s="40"/>
      <c r="S172" s="40"/>
      <c r="T172" s="40"/>
      <c r="U172" s="40"/>
    </row>
    <row r="173" spans="4:21" s="37" customFormat="1" ht="15.75" customHeight="1" x14ac:dyDescent="0.35">
      <c r="D173" s="40"/>
      <c r="E173" s="34"/>
      <c r="F173" s="34"/>
      <c r="G173" s="34"/>
      <c r="H173" s="34"/>
      <c r="I173" s="34"/>
      <c r="J173" s="39"/>
      <c r="K173" s="34"/>
      <c r="L173" s="34"/>
      <c r="M173" s="34"/>
      <c r="N173" s="34"/>
      <c r="O173" s="34"/>
      <c r="P173" s="39"/>
      <c r="R173" s="40"/>
      <c r="S173" s="40"/>
      <c r="T173" s="40"/>
      <c r="U173" s="40"/>
    </row>
    <row r="174" spans="4:21" s="37" customFormat="1" ht="15.75" customHeight="1" x14ac:dyDescent="0.35">
      <c r="D174" s="40"/>
      <c r="E174" s="34"/>
      <c r="F174" s="34"/>
      <c r="G174" s="34"/>
      <c r="H174" s="34"/>
      <c r="I174" s="34"/>
      <c r="J174" s="39"/>
      <c r="K174" s="34"/>
      <c r="L174" s="34"/>
      <c r="M174" s="34"/>
      <c r="N174" s="34"/>
      <c r="O174" s="34"/>
      <c r="P174" s="39"/>
      <c r="R174" s="40"/>
      <c r="S174" s="40"/>
      <c r="T174" s="40"/>
      <c r="U174" s="40"/>
    </row>
    <row r="175" spans="4:21" s="37" customFormat="1" ht="15.75" customHeight="1" x14ac:dyDescent="0.35">
      <c r="D175" s="40"/>
      <c r="E175" s="34"/>
      <c r="F175" s="34"/>
      <c r="G175" s="34"/>
      <c r="H175" s="34"/>
      <c r="I175" s="34"/>
      <c r="J175" s="39"/>
      <c r="K175" s="34"/>
      <c r="L175" s="34"/>
      <c r="M175" s="34"/>
      <c r="N175" s="34"/>
      <c r="O175" s="34"/>
      <c r="P175" s="39"/>
      <c r="R175" s="40"/>
      <c r="S175" s="40"/>
      <c r="T175" s="40"/>
      <c r="U175" s="40"/>
    </row>
    <row r="176" spans="4:21" s="37" customFormat="1" ht="15.75" customHeight="1" x14ac:dyDescent="0.35">
      <c r="D176" s="40"/>
      <c r="E176" s="34"/>
      <c r="F176" s="34"/>
      <c r="G176" s="34"/>
      <c r="H176" s="34"/>
      <c r="I176" s="34"/>
      <c r="J176" s="39"/>
      <c r="K176" s="34"/>
      <c r="L176" s="34"/>
      <c r="M176" s="34"/>
      <c r="N176" s="34"/>
      <c r="O176" s="34"/>
      <c r="P176" s="39"/>
      <c r="R176" s="40"/>
      <c r="S176" s="40"/>
      <c r="T176" s="40"/>
      <c r="U176" s="40"/>
    </row>
    <row r="177" spans="4:21" s="37" customFormat="1" ht="15.75" customHeight="1" x14ac:dyDescent="0.35">
      <c r="D177" s="40"/>
      <c r="E177" s="34"/>
      <c r="F177" s="34"/>
      <c r="G177" s="34"/>
      <c r="H177" s="34"/>
      <c r="I177" s="34"/>
      <c r="J177" s="39"/>
      <c r="K177" s="34"/>
      <c r="L177" s="34"/>
      <c r="M177" s="34"/>
      <c r="N177" s="34"/>
      <c r="O177" s="34"/>
      <c r="P177" s="39"/>
      <c r="R177" s="40"/>
      <c r="S177" s="40"/>
      <c r="T177" s="40"/>
      <c r="U177" s="40"/>
    </row>
    <row r="178" spans="4:21" s="37" customFormat="1" ht="15.75" customHeight="1" x14ac:dyDescent="0.35">
      <c r="D178" s="40"/>
      <c r="E178" s="34"/>
      <c r="F178" s="34"/>
      <c r="G178" s="34"/>
      <c r="H178" s="34"/>
      <c r="I178" s="34"/>
      <c r="J178" s="39"/>
      <c r="K178" s="34"/>
      <c r="L178" s="34"/>
      <c r="M178" s="34"/>
      <c r="N178" s="34"/>
      <c r="O178" s="34"/>
      <c r="P178" s="39"/>
      <c r="R178" s="40"/>
      <c r="S178" s="40"/>
      <c r="T178" s="40"/>
      <c r="U178" s="40"/>
    </row>
    <row r="179" spans="4:21" s="37" customFormat="1" ht="15.75" customHeight="1" x14ac:dyDescent="0.35">
      <c r="D179" s="40"/>
      <c r="E179" s="34"/>
      <c r="F179" s="34"/>
      <c r="G179" s="34"/>
      <c r="H179" s="34"/>
      <c r="I179" s="34"/>
      <c r="J179" s="39"/>
      <c r="K179" s="34"/>
      <c r="L179" s="34"/>
      <c r="M179" s="34"/>
      <c r="N179" s="34"/>
      <c r="O179" s="34"/>
      <c r="P179" s="39"/>
      <c r="R179" s="40"/>
      <c r="S179" s="40"/>
      <c r="T179" s="40"/>
      <c r="U179" s="40"/>
    </row>
    <row r="180" spans="4:21" s="37" customFormat="1" ht="15.75" customHeight="1" x14ac:dyDescent="0.35">
      <c r="D180" s="40"/>
      <c r="E180" s="34"/>
      <c r="F180" s="34"/>
      <c r="G180" s="34"/>
      <c r="H180" s="34"/>
      <c r="I180" s="34"/>
      <c r="J180" s="39"/>
      <c r="K180" s="34"/>
      <c r="L180" s="34"/>
      <c r="M180" s="34"/>
      <c r="N180" s="34"/>
      <c r="O180" s="34"/>
      <c r="P180" s="39"/>
      <c r="R180" s="40"/>
      <c r="S180" s="40"/>
      <c r="T180" s="40"/>
      <c r="U180" s="40"/>
    </row>
    <row r="181" spans="4:21" s="37" customFormat="1" ht="15.75" customHeight="1" x14ac:dyDescent="0.35">
      <c r="D181" s="40"/>
      <c r="E181" s="34"/>
      <c r="F181" s="34"/>
      <c r="G181" s="34"/>
      <c r="H181" s="34"/>
      <c r="I181" s="34"/>
      <c r="J181" s="39"/>
      <c r="K181" s="34"/>
      <c r="L181" s="34"/>
      <c r="M181" s="34"/>
      <c r="N181" s="34"/>
      <c r="O181" s="34"/>
      <c r="P181" s="39"/>
      <c r="R181" s="40"/>
      <c r="S181" s="40"/>
      <c r="T181" s="40"/>
      <c r="U181" s="40"/>
    </row>
    <row r="182" spans="4:21" s="37" customFormat="1" ht="15.75" customHeight="1" x14ac:dyDescent="0.35">
      <c r="D182" s="40"/>
      <c r="E182" s="34"/>
      <c r="F182" s="34"/>
      <c r="G182" s="34"/>
      <c r="H182" s="34"/>
      <c r="I182" s="34"/>
      <c r="J182" s="39"/>
      <c r="K182" s="34"/>
      <c r="L182" s="34"/>
      <c r="M182" s="34"/>
      <c r="N182" s="34"/>
      <c r="O182" s="34"/>
      <c r="P182" s="39"/>
      <c r="R182" s="40"/>
      <c r="S182" s="40"/>
      <c r="T182" s="40"/>
      <c r="U182" s="40"/>
    </row>
    <row r="183" spans="4:21" s="37" customFormat="1" ht="15.75" customHeight="1" x14ac:dyDescent="0.35">
      <c r="D183" s="40"/>
      <c r="E183" s="34"/>
      <c r="F183" s="34"/>
      <c r="G183" s="34"/>
      <c r="H183" s="34"/>
      <c r="I183" s="34"/>
      <c r="J183" s="39"/>
      <c r="K183" s="34"/>
      <c r="L183" s="34"/>
      <c r="M183" s="34"/>
      <c r="N183" s="34"/>
      <c r="O183" s="34"/>
      <c r="P183" s="39"/>
      <c r="R183" s="40"/>
      <c r="S183" s="40"/>
      <c r="T183" s="40"/>
      <c r="U183" s="40"/>
    </row>
    <row r="184" spans="4:21" s="37" customFormat="1" ht="15.75" customHeight="1" x14ac:dyDescent="0.35">
      <c r="D184" s="40"/>
      <c r="E184" s="34"/>
      <c r="F184" s="34"/>
      <c r="G184" s="34"/>
      <c r="H184" s="34"/>
      <c r="I184" s="34"/>
      <c r="J184" s="39"/>
      <c r="K184" s="34"/>
      <c r="L184" s="34"/>
      <c r="M184" s="34"/>
      <c r="N184" s="34"/>
      <c r="O184" s="34"/>
      <c r="P184" s="39"/>
      <c r="R184" s="40"/>
      <c r="S184" s="40"/>
      <c r="T184" s="40"/>
      <c r="U184" s="40"/>
    </row>
    <row r="185" spans="4:21" s="37" customFormat="1" ht="15.75" customHeight="1" x14ac:dyDescent="0.35">
      <c r="D185" s="40"/>
      <c r="E185" s="34"/>
      <c r="F185" s="34"/>
      <c r="G185" s="34"/>
      <c r="H185" s="34"/>
      <c r="I185" s="34"/>
      <c r="J185" s="39"/>
      <c r="K185" s="34"/>
      <c r="L185" s="34"/>
      <c r="M185" s="34"/>
      <c r="N185" s="34"/>
      <c r="O185" s="34"/>
      <c r="P185" s="39"/>
      <c r="R185" s="40"/>
      <c r="S185" s="40"/>
      <c r="T185" s="40"/>
      <c r="U185" s="40"/>
    </row>
    <row r="186" spans="4:21" s="37" customFormat="1" ht="15.75" customHeight="1" x14ac:dyDescent="0.35">
      <c r="D186" s="40"/>
      <c r="E186" s="34"/>
      <c r="F186" s="34"/>
      <c r="G186" s="34"/>
      <c r="H186" s="34"/>
      <c r="I186" s="34"/>
      <c r="J186" s="39"/>
      <c r="K186" s="34"/>
      <c r="L186" s="34"/>
      <c r="M186" s="34"/>
      <c r="N186" s="34"/>
      <c r="O186" s="34"/>
      <c r="P186" s="39"/>
      <c r="R186" s="40"/>
      <c r="S186" s="40"/>
      <c r="T186" s="40"/>
      <c r="U186" s="40"/>
    </row>
    <row r="187" spans="4:21" s="37" customFormat="1" ht="15.75" customHeight="1" x14ac:dyDescent="0.35">
      <c r="D187" s="40"/>
      <c r="E187" s="34"/>
      <c r="F187" s="34"/>
      <c r="G187" s="34"/>
      <c r="H187" s="34"/>
      <c r="I187" s="34"/>
      <c r="J187" s="39"/>
      <c r="K187" s="34"/>
      <c r="L187" s="34"/>
      <c r="M187" s="34"/>
      <c r="N187" s="34"/>
      <c r="O187" s="34"/>
      <c r="P187" s="39"/>
      <c r="R187" s="40"/>
      <c r="S187" s="40"/>
      <c r="T187" s="40"/>
      <c r="U187" s="40"/>
    </row>
    <row r="188" spans="4:21" s="37" customFormat="1" ht="15.75" customHeight="1" x14ac:dyDescent="0.35">
      <c r="D188" s="40"/>
      <c r="E188" s="34"/>
      <c r="F188" s="34"/>
      <c r="G188" s="34"/>
      <c r="H188" s="34"/>
      <c r="I188" s="34"/>
      <c r="J188" s="39"/>
      <c r="K188" s="34"/>
      <c r="L188" s="34"/>
      <c r="M188" s="34"/>
      <c r="N188" s="34"/>
      <c r="O188" s="34"/>
      <c r="P188" s="39"/>
      <c r="R188" s="40"/>
      <c r="S188" s="40"/>
      <c r="T188" s="40"/>
      <c r="U188" s="40"/>
    </row>
    <row r="189" spans="4:21" s="37" customFormat="1" ht="15.75" customHeight="1" x14ac:dyDescent="0.35">
      <c r="D189" s="40"/>
      <c r="E189" s="34"/>
      <c r="F189" s="34"/>
      <c r="G189" s="34"/>
      <c r="H189" s="34"/>
      <c r="I189" s="34"/>
      <c r="J189" s="39"/>
      <c r="K189" s="34"/>
      <c r="L189" s="34"/>
      <c r="M189" s="34"/>
      <c r="N189" s="34"/>
      <c r="O189" s="34"/>
      <c r="P189" s="39"/>
      <c r="R189" s="40"/>
      <c r="S189" s="40"/>
      <c r="T189" s="40"/>
      <c r="U189" s="40"/>
    </row>
    <row r="190" spans="4:21" s="37" customFormat="1" ht="15.75" customHeight="1" x14ac:dyDescent="0.35">
      <c r="D190" s="40"/>
      <c r="E190" s="34"/>
      <c r="F190" s="34"/>
      <c r="G190" s="34"/>
      <c r="H190" s="34"/>
      <c r="I190" s="34"/>
      <c r="J190" s="39"/>
      <c r="K190" s="34"/>
      <c r="L190" s="34"/>
      <c r="M190" s="34"/>
      <c r="N190" s="34"/>
      <c r="O190" s="34"/>
      <c r="P190" s="39"/>
      <c r="R190" s="40"/>
      <c r="S190" s="40"/>
      <c r="T190" s="40"/>
      <c r="U190" s="40"/>
    </row>
    <row r="191" spans="4:21" s="37" customFormat="1" ht="15.75" customHeight="1" x14ac:dyDescent="0.35">
      <c r="D191" s="40"/>
      <c r="E191" s="34"/>
      <c r="F191" s="34"/>
      <c r="G191" s="34"/>
      <c r="H191" s="34"/>
      <c r="I191" s="34"/>
      <c r="J191" s="39"/>
      <c r="K191" s="34"/>
      <c r="L191" s="34"/>
      <c r="M191" s="34"/>
      <c r="N191" s="34"/>
      <c r="O191" s="34"/>
      <c r="P191" s="39"/>
      <c r="R191" s="40"/>
      <c r="S191" s="40"/>
      <c r="T191" s="40"/>
      <c r="U191" s="40"/>
    </row>
    <row r="192" spans="4:21" s="37" customFormat="1" ht="15.75" customHeight="1" x14ac:dyDescent="0.35">
      <c r="D192" s="40"/>
      <c r="E192" s="34"/>
      <c r="F192" s="34"/>
      <c r="G192" s="34"/>
      <c r="H192" s="34"/>
      <c r="I192" s="34"/>
      <c r="J192" s="39"/>
      <c r="K192" s="34"/>
      <c r="L192" s="34"/>
      <c r="M192" s="34"/>
      <c r="N192" s="34"/>
      <c r="O192" s="34"/>
      <c r="P192" s="39"/>
      <c r="R192" s="40"/>
      <c r="S192" s="40"/>
      <c r="T192" s="40"/>
      <c r="U192" s="40"/>
    </row>
    <row r="193" spans="4:21" s="37" customFormat="1" ht="15.75" customHeight="1" x14ac:dyDescent="0.35">
      <c r="D193" s="40"/>
      <c r="E193" s="34"/>
      <c r="F193" s="34"/>
      <c r="G193" s="34"/>
      <c r="H193" s="34"/>
      <c r="I193" s="34"/>
      <c r="J193" s="39"/>
      <c r="K193" s="34"/>
      <c r="L193" s="34"/>
      <c r="M193" s="34"/>
      <c r="N193" s="34"/>
      <c r="O193" s="34"/>
      <c r="P193" s="39"/>
      <c r="R193" s="40"/>
      <c r="S193" s="40"/>
      <c r="T193" s="40"/>
      <c r="U193" s="40"/>
    </row>
    <row r="194" spans="4:21" s="37" customFormat="1" ht="15.75" customHeight="1" x14ac:dyDescent="0.35">
      <c r="D194" s="40"/>
      <c r="E194" s="34"/>
      <c r="F194" s="34"/>
      <c r="G194" s="34"/>
      <c r="H194" s="34"/>
      <c r="I194" s="34"/>
      <c r="J194" s="39"/>
      <c r="K194" s="34"/>
      <c r="L194" s="34"/>
      <c r="M194" s="34"/>
      <c r="N194" s="34"/>
      <c r="O194" s="34"/>
      <c r="P194" s="39"/>
      <c r="R194" s="40"/>
      <c r="S194" s="40"/>
      <c r="T194" s="40"/>
      <c r="U194" s="40"/>
    </row>
    <row r="195" spans="4:21" s="37" customFormat="1" ht="15.75" customHeight="1" x14ac:dyDescent="0.35">
      <c r="D195" s="40"/>
      <c r="E195" s="34"/>
      <c r="F195" s="34"/>
      <c r="G195" s="34"/>
      <c r="H195" s="34"/>
      <c r="I195" s="34"/>
      <c r="J195" s="39"/>
      <c r="K195" s="34"/>
      <c r="L195" s="34"/>
      <c r="M195" s="34"/>
      <c r="N195" s="34"/>
      <c r="O195" s="34"/>
      <c r="P195" s="39"/>
      <c r="R195" s="40"/>
      <c r="S195" s="40"/>
      <c r="T195" s="40"/>
      <c r="U195" s="40"/>
    </row>
    <row r="196" spans="4:21" s="37" customFormat="1" ht="15.75" customHeight="1" x14ac:dyDescent="0.35">
      <c r="D196" s="40"/>
      <c r="E196" s="34"/>
      <c r="F196" s="34"/>
      <c r="G196" s="34"/>
      <c r="H196" s="34"/>
      <c r="I196" s="34"/>
      <c r="J196" s="39"/>
      <c r="K196" s="34"/>
      <c r="L196" s="34"/>
      <c r="M196" s="34"/>
      <c r="N196" s="34"/>
      <c r="O196" s="34"/>
      <c r="P196" s="39"/>
      <c r="R196" s="40"/>
      <c r="S196" s="40"/>
      <c r="T196" s="40"/>
      <c r="U196" s="40"/>
    </row>
    <row r="197" spans="4:21" s="37" customFormat="1" ht="15.75" customHeight="1" x14ac:dyDescent="0.35">
      <c r="D197" s="40"/>
      <c r="E197" s="34"/>
      <c r="F197" s="34"/>
      <c r="G197" s="34"/>
      <c r="H197" s="34"/>
      <c r="I197" s="34"/>
      <c r="J197" s="39"/>
      <c r="K197" s="34"/>
      <c r="L197" s="34"/>
      <c r="M197" s="34"/>
      <c r="N197" s="34"/>
      <c r="O197" s="34"/>
      <c r="P197" s="39"/>
      <c r="R197" s="40"/>
      <c r="S197" s="40"/>
      <c r="T197" s="40"/>
      <c r="U197" s="40"/>
    </row>
    <row r="198" spans="4:21" s="37" customFormat="1" ht="15.75" customHeight="1" x14ac:dyDescent="0.35">
      <c r="D198" s="40"/>
      <c r="E198" s="34"/>
      <c r="F198" s="34"/>
      <c r="G198" s="34"/>
      <c r="H198" s="34"/>
      <c r="I198" s="34"/>
      <c r="J198" s="39"/>
      <c r="K198" s="34"/>
      <c r="L198" s="34"/>
      <c r="M198" s="34"/>
      <c r="N198" s="34"/>
      <c r="O198" s="34"/>
      <c r="P198" s="39"/>
      <c r="R198" s="40"/>
      <c r="S198" s="40"/>
      <c r="T198" s="40"/>
      <c r="U198" s="40"/>
    </row>
    <row r="199" spans="4:21" s="37" customFormat="1" ht="15.75" customHeight="1" x14ac:dyDescent="0.35">
      <c r="D199" s="40"/>
      <c r="E199" s="34"/>
      <c r="F199" s="34"/>
      <c r="G199" s="34"/>
      <c r="H199" s="34"/>
      <c r="I199" s="34"/>
      <c r="J199" s="39"/>
      <c r="K199" s="34"/>
      <c r="L199" s="34"/>
      <c r="M199" s="34"/>
      <c r="N199" s="34"/>
      <c r="O199" s="34"/>
      <c r="P199" s="39"/>
      <c r="R199" s="40"/>
      <c r="S199" s="40"/>
      <c r="T199" s="40"/>
      <c r="U199" s="40"/>
    </row>
    <row r="200" spans="4:21" s="37" customFormat="1" ht="15.75" customHeight="1" x14ac:dyDescent="0.35">
      <c r="D200" s="40"/>
      <c r="E200" s="34"/>
      <c r="F200" s="34"/>
      <c r="G200" s="34"/>
      <c r="H200" s="34"/>
      <c r="I200" s="34"/>
      <c r="J200" s="39"/>
      <c r="K200" s="34"/>
      <c r="L200" s="34"/>
      <c r="M200" s="34"/>
      <c r="N200" s="34"/>
      <c r="O200" s="34"/>
      <c r="P200" s="39"/>
      <c r="R200" s="40"/>
      <c r="S200" s="40"/>
      <c r="T200" s="40"/>
      <c r="U200" s="40"/>
    </row>
    <row r="201" spans="4:21" s="37" customFormat="1" ht="15.75" customHeight="1" x14ac:dyDescent="0.35">
      <c r="D201" s="40"/>
      <c r="E201" s="34"/>
      <c r="F201" s="34"/>
      <c r="G201" s="34"/>
      <c r="H201" s="34"/>
      <c r="I201" s="34"/>
      <c r="J201" s="39"/>
      <c r="K201" s="34"/>
      <c r="L201" s="34"/>
      <c r="M201" s="34"/>
      <c r="N201" s="34"/>
      <c r="O201" s="34"/>
      <c r="P201" s="39"/>
      <c r="R201" s="40"/>
      <c r="S201" s="40"/>
      <c r="T201" s="40"/>
      <c r="U201" s="40"/>
    </row>
    <row r="202" spans="4:21" s="37" customFormat="1" ht="15.75" customHeight="1" x14ac:dyDescent="0.35">
      <c r="D202" s="40"/>
      <c r="E202" s="34"/>
      <c r="F202" s="34"/>
      <c r="G202" s="34"/>
      <c r="H202" s="34"/>
      <c r="I202" s="34"/>
      <c r="J202" s="39"/>
      <c r="K202" s="34"/>
      <c r="L202" s="34"/>
      <c r="M202" s="34"/>
      <c r="N202" s="34"/>
      <c r="O202" s="34"/>
      <c r="P202" s="39"/>
      <c r="R202" s="40"/>
      <c r="S202" s="40"/>
      <c r="T202" s="40"/>
      <c r="U202" s="40"/>
    </row>
    <row r="203" spans="4:21" s="37" customFormat="1" ht="15.75" customHeight="1" x14ac:dyDescent="0.35">
      <c r="D203" s="40"/>
      <c r="E203" s="34"/>
      <c r="F203" s="34"/>
      <c r="G203" s="34"/>
      <c r="H203" s="34"/>
      <c r="I203" s="34"/>
      <c r="J203" s="39"/>
      <c r="K203" s="34"/>
      <c r="L203" s="34"/>
      <c r="M203" s="34"/>
      <c r="N203" s="34"/>
      <c r="O203" s="34"/>
      <c r="P203" s="39"/>
      <c r="R203" s="40"/>
      <c r="S203" s="40"/>
      <c r="T203" s="40"/>
      <c r="U203" s="40"/>
    </row>
    <row r="204" spans="4:21" s="37" customFormat="1" ht="15.75" customHeight="1" x14ac:dyDescent="0.35">
      <c r="D204" s="40"/>
      <c r="E204" s="34"/>
      <c r="F204" s="34"/>
      <c r="G204" s="34"/>
      <c r="H204" s="34"/>
      <c r="I204" s="34"/>
      <c r="J204" s="39"/>
      <c r="K204" s="34"/>
      <c r="L204" s="34"/>
      <c r="M204" s="34"/>
      <c r="N204" s="34"/>
      <c r="O204" s="34"/>
      <c r="P204" s="39"/>
      <c r="R204" s="40"/>
      <c r="S204" s="40"/>
      <c r="T204" s="40"/>
      <c r="U204" s="40"/>
    </row>
    <row r="205" spans="4:21" s="37" customFormat="1" ht="15.75" customHeight="1" x14ac:dyDescent="0.35">
      <c r="D205" s="40"/>
      <c r="E205" s="34"/>
      <c r="F205" s="34"/>
      <c r="G205" s="34"/>
      <c r="H205" s="34"/>
      <c r="I205" s="34"/>
      <c r="J205" s="39"/>
      <c r="K205" s="34"/>
      <c r="L205" s="34"/>
      <c r="M205" s="34"/>
      <c r="N205" s="34"/>
      <c r="O205" s="34"/>
      <c r="P205" s="39"/>
      <c r="R205" s="40"/>
      <c r="S205" s="40"/>
      <c r="T205" s="40"/>
      <c r="U205" s="40"/>
    </row>
    <row r="206" spans="4:21" s="37" customFormat="1" ht="15.75" customHeight="1" x14ac:dyDescent="0.35">
      <c r="D206" s="40"/>
      <c r="E206" s="34"/>
      <c r="F206" s="34"/>
      <c r="G206" s="34"/>
      <c r="H206" s="34"/>
      <c r="I206" s="34"/>
      <c r="J206" s="39"/>
      <c r="K206" s="34"/>
      <c r="L206" s="34"/>
      <c r="M206" s="34"/>
      <c r="N206" s="34"/>
      <c r="O206" s="34"/>
      <c r="P206" s="39"/>
      <c r="R206" s="40"/>
      <c r="S206" s="40"/>
      <c r="T206" s="40"/>
      <c r="U206" s="40"/>
    </row>
    <row r="207" spans="4:21" s="37" customFormat="1" ht="15.75" customHeight="1" x14ac:dyDescent="0.35">
      <c r="D207" s="40"/>
      <c r="E207" s="34"/>
      <c r="F207" s="34"/>
      <c r="G207" s="34"/>
      <c r="H207" s="34"/>
      <c r="I207" s="34"/>
      <c r="J207" s="39"/>
      <c r="K207" s="34"/>
      <c r="L207" s="34"/>
      <c r="M207" s="34"/>
      <c r="N207" s="34"/>
      <c r="O207" s="34"/>
      <c r="P207" s="39"/>
      <c r="R207" s="40"/>
      <c r="S207" s="40"/>
      <c r="T207" s="40"/>
      <c r="U207" s="40"/>
    </row>
    <row r="208" spans="4:21" s="37" customFormat="1" ht="15.75" customHeight="1" x14ac:dyDescent="0.35">
      <c r="D208" s="40"/>
      <c r="E208" s="34"/>
      <c r="F208" s="34"/>
      <c r="G208" s="34"/>
      <c r="H208" s="34"/>
      <c r="I208" s="34"/>
      <c r="J208" s="39"/>
      <c r="K208" s="34"/>
      <c r="L208" s="34"/>
      <c r="M208" s="34"/>
      <c r="N208" s="34"/>
      <c r="O208" s="34"/>
      <c r="P208" s="39"/>
      <c r="R208" s="40"/>
      <c r="S208" s="40"/>
      <c r="T208" s="40"/>
      <c r="U208" s="40"/>
    </row>
    <row r="209" spans="4:21" s="37" customFormat="1" ht="15.75" customHeight="1" x14ac:dyDescent="0.35">
      <c r="D209" s="40"/>
      <c r="E209" s="34"/>
      <c r="F209" s="34"/>
      <c r="G209" s="34"/>
      <c r="H209" s="34"/>
      <c r="I209" s="34"/>
      <c r="J209" s="39"/>
      <c r="K209" s="34"/>
      <c r="L209" s="34"/>
      <c r="M209" s="34"/>
      <c r="N209" s="34"/>
      <c r="O209" s="34"/>
      <c r="P209" s="39"/>
      <c r="R209" s="40"/>
      <c r="S209" s="40"/>
      <c r="T209" s="40"/>
      <c r="U209" s="40"/>
    </row>
    <row r="210" spans="4:21" s="37" customFormat="1" ht="15.75" customHeight="1" x14ac:dyDescent="0.35">
      <c r="D210" s="40"/>
      <c r="E210" s="34"/>
      <c r="F210" s="34"/>
      <c r="G210" s="34"/>
      <c r="H210" s="34"/>
      <c r="I210" s="34"/>
      <c r="J210" s="39"/>
      <c r="K210" s="34"/>
      <c r="L210" s="34"/>
      <c r="M210" s="34"/>
      <c r="N210" s="34"/>
      <c r="O210" s="34"/>
      <c r="P210" s="39"/>
      <c r="R210" s="40"/>
      <c r="S210" s="40"/>
      <c r="T210" s="40"/>
      <c r="U210" s="40"/>
    </row>
    <row r="211" spans="4:21" s="37" customFormat="1" ht="15.75" customHeight="1" x14ac:dyDescent="0.35">
      <c r="D211" s="40"/>
      <c r="E211" s="34"/>
      <c r="F211" s="34"/>
      <c r="G211" s="34"/>
      <c r="H211" s="34"/>
      <c r="I211" s="34"/>
      <c r="J211" s="39"/>
      <c r="K211" s="34"/>
      <c r="L211" s="34"/>
      <c r="M211" s="34"/>
      <c r="N211" s="34"/>
      <c r="O211" s="34"/>
      <c r="P211" s="39"/>
      <c r="R211" s="40"/>
      <c r="S211" s="40"/>
      <c r="T211" s="40"/>
      <c r="U211" s="40"/>
    </row>
    <row r="212" spans="4:21" s="37" customFormat="1" ht="15.75" customHeight="1" x14ac:dyDescent="0.35">
      <c r="D212" s="40"/>
      <c r="E212" s="34"/>
      <c r="F212" s="34"/>
      <c r="G212" s="34"/>
      <c r="H212" s="34"/>
      <c r="I212" s="34"/>
      <c r="J212" s="39"/>
      <c r="K212" s="34"/>
      <c r="L212" s="34"/>
      <c r="M212" s="34"/>
      <c r="N212" s="34"/>
      <c r="O212" s="34"/>
      <c r="P212" s="39"/>
      <c r="R212" s="40"/>
      <c r="S212" s="40"/>
      <c r="T212" s="40"/>
      <c r="U212" s="40"/>
    </row>
    <row r="213" spans="4:21" s="37" customFormat="1" ht="15.75" customHeight="1" x14ac:dyDescent="0.35">
      <c r="D213" s="40"/>
      <c r="E213" s="34"/>
      <c r="F213" s="34"/>
      <c r="G213" s="34"/>
      <c r="H213" s="34"/>
      <c r="I213" s="34"/>
      <c r="J213" s="39"/>
      <c r="K213" s="34"/>
      <c r="L213" s="34"/>
      <c r="M213" s="34"/>
      <c r="N213" s="34"/>
      <c r="O213" s="34"/>
      <c r="P213" s="39"/>
      <c r="R213" s="40"/>
      <c r="S213" s="40"/>
      <c r="T213" s="40"/>
      <c r="U213" s="40"/>
    </row>
    <row r="214" spans="4:21" s="37" customFormat="1" ht="15.75" customHeight="1" x14ac:dyDescent="0.35">
      <c r="D214" s="40"/>
      <c r="E214" s="34"/>
      <c r="F214" s="34"/>
      <c r="G214" s="34"/>
      <c r="H214" s="34"/>
      <c r="I214" s="34"/>
      <c r="J214" s="39"/>
      <c r="K214" s="34"/>
      <c r="L214" s="34"/>
      <c r="M214" s="34"/>
      <c r="N214" s="34"/>
      <c r="O214" s="34"/>
      <c r="P214" s="39"/>
      <c r="R214" s="40"/>
      <c r="S214" s="40"/>
      <c r="T214" s="40"/>
      <c r="U214" s="40"/>
    </row>
    <row r="215" spans="4:21" s="37" customFormat="1" ht="15.75" customHeight="1" x14ac:dyDescent="0.35">
      <c r="D215" s="40"/>
      <c r="E215" s="34"/>
      <c r="F215" s="34"/>
      <c r="G215" s="34"/>
      <c r="H215" s="34"/>
      <c r="I215" s="34"/>
      <c r="J215" s="39"/>
      <c r="K215" s="34"/>
      <c r="L215" s="34"/>
      <c r="M215" s="34"/>
      <c r="N215" s="34"/>
      <c r="O215" s="34"/>
      <c r="P215" s="39"/>
      <c r="R215" s="40"/>
      <c r="S215" s="40"/>
      <c r="T215" s="40"/>
      <c r="U215" s="40"/>
    </row>
    <row r="216" spans="4:21" s="37" customFormat="1" ht="15.75" customHeight="1" x14ac:dyDescent="0.35">
      <c r="D216" s="40"/>
      <c r="E216" s="34"/>
      <c r="F216" s="34"/>
      <c r="G216" s="34"/>
      <c r="H216" s="34"/>
      <c r="I216" s="34"/>
      <c r="J216" s="39"/>
      <c r="K216" s="34"/>
      <c r="L216" s="34"/>
      <c r="M216" s="34"/>
      <c r="N216" s="34"/>
      <c r="O216" s="34"/>
      <c r="P216" s="39"/>
      <c r="R216" s="40"/>
      <c r="S216" s="40"/>
      <c r="T216" s="40"/>
      <c r="U216" s="40"/>
    </row>
    <row r="217" spans="4:21" s="37" customFormat="1" ht="15.75" customHeight="1" x14ac:dyDescent="0.35">
      <c r="D217" s="40"/>
      <c r="E217" s="34"/>
      <c r="F217" s="34"/>
      <c r="G217" s="34"/>
      <c r="H217" s="34"/>
      <c r="I217" s="34"/>
      <c r="J217" s="39"/>
      <c r="K217" s="34"/>
      <c r="L217" s="34"/>
      <c r="M217" s="34"/>
      <c r="N217" s="34"/>
      <c r="O217" s="34"/>
      <c r="P217" s="39"/>
      <c r="R217" s="40"/>
      <c r="S217" s="40"/>
      <c r="T217" s="40"/>
      <c r="U217" s="40"/>
    </row>
    <row r="218" spans="4:21" s="37" customFormat="1" ht="15.75" customHeight="1" x14ac:dyDescent="0.35">
      <c r="D218" s="40"/>
      <c r="E218" s="34"/>
      <c r="F218" s="34"/>
      <c r="G218" s="34"/>
      <c r="H218" s="34"/>
      <c r="I218" s="34"/>
      <c r="J218" s="39"/>
      <c r="K218" s="34"/>
      <c r="L218" s="34"/>
      <c r="M218" s="34"/>
      <c r="N218" s="34"/>
      <c r="O218" s="34"/>
      <c r="P218" s="39"/>
      <c r="R218" s="40"/>
      <c r="S218" s="40"/>
      <c r="T218" s="40"/>
      <c r="U218" s="40"/>
    </row>
    <row r="219" spans="4:21" s="37" customFormat="1" ht="15.75" customHeight="1" x14ac:dyDescent="0.35">
      <c r="D219" s="40"/>
      <c r="E219" s="34"/>
      <c r="F219" s="34"/>
      <c r="G219" s="34"/>
      <c r="H219" s="34"/>
      <c r="I219" s="34"/>
      <c r="J219" s="39"/>
      <c r="K219" s="34"/>
      <c r="L219" s="34"/>
      <c r="M219" s="34"/>
      <c r="N219" s="34"/>
      <c r="O219" s="34"/>
      <c r="P219" s="39"/>
      <c r="R219" s="40"/>
      <c r="S219" s="40"/>
      <c r="T219" s="40"/>
      <c r="U219" s="40"/>
    </row>
    <row r="220" spans="4:21" s="37" customFormat="1" ht="15.75" customHeight="1" x14ac:dyDescent="0.35">
      <c r="D220" s="40"/>
      <c r="E220" s="34"/>
      <c r="F220" s="34"/>
      <c r="G220" s="34"/>
      <c r="H220" s="34"/>
      <c r="I220" s="34"/>
      <c r="J220" s="39"/>
      <c r="K220" s="34"/>
      <c r="L220" s="34"/>
      <c r="M220" s="34"/>
      <c r="N220" s="34"/>
      <c r="O220" s="34"/>
      <c r="P220" s="39"/>
      <c r="R220" s="40"/>
      <c r="S220" s="40"/>
      <c r="T220" s="40"/>
      <c r="U220" s="40"/>
    </row>
    <row r="221" spans="4:21" s="37" customFormat="1" ht="15.75" customHeight="1" x14ac:dyDescent="0.35">
      <c r="D221" s="40"/>
      <c r="E221" s="34"/>
      <c r="F221" s="34"/>
      <c r="G221" s="34"/>
      <c r="H221" s="34"/>
      <c r="I221" s="34"/>
      <c r="J221" s="39"/>
      <c r="K221" s="34"/>
      <c r="L221" s="34"/>
      <c r="M221" s="34"/>
      <c r="N221" s="34"/>
      <c r="O221" s="34"/>
      <c r="P221" s="39"/>
      <c r="R221" s="40"/>
      <c r="S221" s="40"/>
      <c r="T221" s="40"/>
      <c r="U221" s="40"/>
    </row>
    <row r="222" spans="4:21" s="37" customFormat="1" ht="15.75" customHeight="1" x14ac:dyDescent="0.35">
      <c r="D222" s="40"/>
      <c r="E222" s="34"/>
      <c r="F222" s="34"/>
      <c r="G222" s="34"/>
      <c r="H222" s="34"/>
      <c r="I222" s="34"/>
      <c r="J222" s="39"/>
      <c r="K222" s="34"/>
      <c r="L222" s="34"/>
      <c r="M222" s="34"/>
      <c r="N222" s="34"/>
      <c r="O222" s="34"/>
      <c r="P222" s="39"/>
      <c r="R222" s="40"/>
      <c r="S222" s="40"/>
      <c r="T222" s="40"/>
      <c r="U222" s="40"/>
    </row>
    <row r="223" spans="4:21" s="37" customFormat="1" ht="15.75" customHeight="1" x14ac:dyDescent="0.35">
      <c r="D223" s="40"/>
      <c r="E223" s="34"/>
      <c r="F223" s="34"/>
      <c r="G223" s="34"/>
      <c r="H223" s="34"/>
      <c r="I223" s="34"/>
      <c r="J223" s="39"/>
      <c r="K223" s="34"/>
      <c r="L223" s="34"/>
      <c r="M223" s="34"/>
      <c r="N223" s="34"/>
      <c r="O223" s="34"/>
      <c r="P223" s="39"/>
      <c r="R223" s="40"/>
      <c r="S223" s="40"/>
      <c r="T223" s="40"/>
      <c r="U223" s="40"/>
    </row>
    <row r="224" spans="4:21" s="37" customFormat="1" ht="15.75" customHeight="1" x14ac:dyDescent="0.35">
      <c r="D224" s="40"/>
      <c r="E224" s="34"/>
      <c r="F224" s="34"/>
      <c r="G224" s="34"/>
      <c r="H224" s="34"/>
      <c r="I224" s="34"/>
      <c r="J224" s="39"/>
      <c r="K224" s="34"/>
      <c r="L224" s="34"/>
      <c r="M224" s="34"/>
      <c r="N224" s="34"/>
      <c r="O224" s="34"/>
      <c r="P224" s="39"/>
      <c r="R224" s="40"/>
      <c r="S224" s="40"/>
      <c r="T224" s="40"/>
      <c r="U224" s="40"/>
    </row>
    <row r="225" spans="4:21" s="37" customFormat="1" ht="15.75" customHeight="1" x14ac:dyDescent="0.35">
      <c r="D225" s="40"/>
      <c r="E225" s="34"/>
      <c r="F225" s="34"/>
      <c r="G225" s="34"/>
      <c r="H225" s="34"/>
      <c r="I225" s="34"/>
      <c r="J225" s="39"/>
      <c r="K225" s="34"/>
      <c r="L225" s="34"/>
      <c r="M225" s="34"/>
      <c r="N225" s="34"/>
      <c r="O225" s="34"/>
      <c r="P225" s="39"/>
      <c r="R225" s="40"/>
      <c r="S225" s="40"/>
      <c r="T225" s="40"/>
      <c r="U225" s="40"/>
    </row>
    <row r="226" spans="4:21" s="37" customFormat="1" ht="15.75" customHeight="1" x14ac:dyDescent="0.35">
      <c r="D226" s="40"/>
      <c r="E226" s="34"/>
      <c r="F226" s="34"/>
      <c r="G226" s="34"/>
      <c r="H226" s="34"/>
      <c r="I226" s="34"/>
      <c r="J226" s="39"/>
      <c r="K226" s="34"/>
      <c r="L226" s="34"/>
      <c r="M226" s="34"/>
      <c r="N226" s="34"/>
      <c r="O226" s="34"/>
      <c r="P226" s="39"/>
      <c r="R226" s="40"/>
      <c r="S226" s="40"/>
      <c r="T226" s="40"/>
      <c r="U226" s="40"/>
    </row>
    <row r="227" spans="4:21" s="37" customFormat="1" ht="15.75" customHeight="1" x14ac:dyDescent="0.35">
      <c r="D227" s="40"/>
      <c r="E227" s="34"/>
      <c r="F227" s="34"/>
      <c r="G227" s="34"/>
      <c r="H227" s="34"/>
      <c r="I227" s="34"/>
      <c r="J227" s="39"/>
      <c r="K227" s="34"/>
      <c r="L227" s="34"/>
      <c r="M227" s="34"/>
      <c r="N227" s="34"/>
      <c r="O227" s="34"/>
      <c r="P227" s="39"/>
      <c r="R227" s="40"/>
      <c r="S227" s="40"/>
      <c r="T227" s="40"/>
      <c r="U227" s="40"/>
    </row>
    <row r="228" spans="4:21" s="37" customFormat="1" ht="15.75" customHeight="1" x14ac:dyDescent="0.35">
      <c r="D228" s="40"/>
      <c r="E228" s="34"/>
      <c r="F228" s="34"/>
      <c r="G228" s="34"/>
      <c r="H228" s="34"/>
      <c r="I228" s="34"/>
      <c r="J228" s="39"/>
      <c r="K228" s="34"/>
      <c r="L228" s="34"/>
      <c r="M228" s="34"/>
      <c r="N228" s="34"/>
      <c r="O228" s="34"/>
      <c r="P228" s="39"/>
      <c r="R228" s="40"/>
      <c r="S228" s="40"/>
      <c r="T228" s="40"/>
      <c r="U228" s="40"/>
    </row>
    <row r="229" spans="4:21" s="37" customFormat="1" ht="15.75" customHeight="1" x14ac:dyDescent="0.35">
      <c r="D229" s="40"/>
      <c r="E229" s="34"/>
      <c r="F229" s="34"/>
      <c r="G229" s="34"/>
      <c r="H229" s="34"/>
      <c r="I229" s="34"/>
      <c r="J229" s="39"/>
      <c r="K229" s="34"/>
      <c r="L229" s="34"/>
      <c r="M229" s="34"/>
      <c r="N229" s="34"/>
      <c r="O229" s="34"/>
      <c r="P229" s="39"/>
      <c r="R229" s="40"/>
      <c r="S229" s="40"/>
      <c r="T229" s="40"/>
      <c r="U229" s="40"/>
    </row>
    <row r="230" spans="4:21" s="37" customFormat="1" ht="15.75" customHeight="1" x14ac:dyDescent="0.35">
      <c r="D230" s="40"/>
      <c r="E230" s="34"/>
      <c r="F230" s="34"/>
      <c r="G230" s="34"/>
      <c r="H230" s="34"/>
      <c r="I230" s="34"/>
      <c r="J230" s="39"/>
      <c r="K230" s="34"/>
      <c r="L230" s="34"/>
      <c r="M230" s="34"/>
      <c r="N230" s="34"/>
      <c r="O230" s="34"/>
      <c r="P230" s="39"/>
      <c r="R230" s="40"/>
      <c r="S230" s="40"/>
      <c r="T230" s="40"/>
      <c r="U230" s="40"/>
    </row>
    <row r="231" spans="4:21" s="37" customFormat="1" ht="15.75" customHeight="1" x14ac:dyDescent="0.35">
      <c r="D231" s="40"/>
      <c r="E231" s="34"/>
      <c r="F231" s="34"/>
      <c r="G231" s="34"/>
      <c r="H231" s="34"/>
      <c r="I231" s="34"/>
      <c r="J231" s="39"/>
      <c r="K231" s="34"/>
      <c r="L231" s="34"/>
      <c r="M231" s="34"/>
      <c r="N231" s="34"/>
      <c r="O231" s="34"/>
      <c r="P231" s="39"/>
      <c r="R231" s="40"/>
      <c r="S231" s="40"/>
      <c r="T231" s="40"/>
      <c r="U231" s="40"/>
    </row>
    <row r="232" spans="4:21" s="37" customFormat="1" ht="15.75" customHeight="1" x14ac:dyDescent="0.35">
      <c r="D232" s="40"/>
      <c r="E232" s="34"/>
      <c r="F232" s="34"/>
      <c r="G232" s="34"/>
      <c r="H232" s="34"/>
      <c r="I232" s="34"/>
      <c r="J232" s="39"/>
      <c r="K232" s="34"/>
      <c r="L232" s="34"/>
      <c r="M232" s="34"/>
      <c r="N232" s="34"/>
      <c r="O232" s="34"/>
      <c r="P232" s="39"/>
      <c r="R232" s="40"/>
      <c r="S232" s="40"/>
      <c r="T232" s="40"/>
      <c r="U232" s="40"/>
    </row>
    <row r="233" spans="4:21" s="37" customFormat="1" ht="15.75" customHeight="1" x14ac:dyDescent="0.35">
      <c r="D233" s="40"/>
      <c r="E233" s="34"/>
      <c r="F233" s="34"/>
      <c r="G233" s="34"/>
      <c r="H233" s="34"/>
      <c r="I233" s="34"/>
      <c r="J233" s="39"/>
      <c r="K233" s="34"/>
      <c r="L233" s="34"/>
      <c r="M233" s="34"/>
      <c r="N233" s="34"/>
      <c r="O233" s="34"/>
      <c r="P233" s="39"/>
      <c r="R233" s="40"/>
      <c r="S233" s="40"/>
      <c r="T233" s="40"/>
      <c r="U233" s="40"/>
    </row>
    <row r="234" spans="4:21" s="37" customFormat="1" ht="15.75" customHeight="1" x14ac:dyDescent="0.35">
      <c r="D234" s="40"/>
      <c r="E234" s="34"/>
      <c r="F234" s="34"/>
      <c r="G234" s="34"/>
      <c r="H234" s="34"/>
      <c r="I234" s="34"/>
      <c r="J234" s="39"/>
      <c r="K234" s="34"/>
      <c r="L234" s="34"/>
      <c r="M234" s="34"/>
      <c r="N234" s="34"/>
      <c r="O234" s="34"/>
      <c r="P234" s="39"/>
      <c r="R234" s="40"/>
      <c r="S234" s="40"/>
      <c r="T234" s="40"/>
      <c r="U234" s="40"/>
    </row>
    <row r="235" spans="4:21" s="37" customFormat="1" ht="15.75" customHeight="1" x14ac:dyDescent="0.35">
      <c r="D235" s="40"/>
      <c r="E235" s="34"/>
      <c r="F235" s="34"/>
      <c r="G235" s="34"/>
      <c r="H235" s="34"/>
      <c r="I235" s="34"/>
      <c r="J235" s="39"/>
      <c r="K235" s="34"/>
      <c r="L235" s="34"/>
      <c r="M235" s="34"/>
      <c r="N235" s="34"/>
      <c r="O235" s="34"/>
      <c r="P235" s="39"/>
      <c r="R235" s="40"/>
      <c r="S235" s="40"/>
      <c r="T235" s="40"/>
      <c r="U235" s="40"/>
    </row>
    <row r="236" spans="4:21" s="37" customFormat="1" ht="15.75" customHeight="1" x14ac:dyDescent="0.35">
      <c r="D236" s="40"/>
      <c r="E236" s="34"/>
      <c r="F236" s="34"/>
      <c r="G236" s="34"/>
      <c r="H236" s="34"/>
      <c r="I236" s="34"/>
      <c r="J236" s="39"/>
      <c r="K236" s="34"/>
      <c r="L236" s="34"/>
      <c r="M236" s="34"/>
      <c r="N236" s="34"/>
      <c r="O236" s="34"/>
      <c r="P236" s="39"/>
      <c r="R236" s="40"/>
      <c r="S236" s="40"/>
      <c r="T236" s="40"/>
      <c r="U236" s="40"/>
    </row>
    <row r="237" spans="4:21" s="37" customFormat="1" ht="15.75" customHeight="1" x14ac:dyDescent="0.35">
      <c r="D237" s="40"/>
      <c r="E237" s="34"/>
      <c r="F237" s="34"/>
      <c r="G237" s="34"/>
      <c r="H237" s="34"/>
      <c r="I237" s="34"/>
      <c r="J237" s="39"/>
      <c r="K237" s="34"/>
      <c r="L237" s="34"/>
      <c r="M237" s="34"/>
      <c r="N237" s="34"/>
      <c r="O237" s="34"/>
      <c r="P237" s="39"/>
      <c r="R237" s="40"/>
      <c r="S237" s="40"/>
      <c r="T237" s="40"/>
      <c r="U237" s="40"/>
    </row>
    <row r="238" spans="4:21" s="37" customFormat="1" ht="15.75" customHeight="1" x14ac:dyDescent="0.35">
      <c r="D238" s="40"/>
      <c r="E238" s="34"/>
      <c r="F238" s="34"/>
      <c r="G238" s="34"/>
      <c r="H238" s="34"/>
      <c r="I238" s="34"/>
      <c r="J238" s="39"/>
      <c r="K238" s="34"/>
      <c r="L238" s="34"/>
      <c r="M238" s="34"/>
      <c r="N238" s="34"/>
      <c r="O238" s="34"/>
      <c r="P238" s="39"/>
      <c r="R238" s="40"/>
      <c r="S238" s="40"/>
      <c r="T238" s="40"/>
      <c r="U238" s="40"/>
    </row>
    <row r="239" spans="4:21" s="37" customFormat="1" ht="15.75" customHeight="1" x14ac:dyDescent="0.35">
      <c r="D239" s="40"/>
      <c r="E239" s="34"/>
      <c r="F239" s="34"/>
      <c r="G239" s="34"/>
      <c r="H239" s="34"/>
      <c r="I239" s="34"/>
      <c r="J239" s="39"/>
      <c r="K239" s="34"/>
      <c r="L239" s="34"/>
      <c r="M239" s="34"/>
      <c r="N239" s="34"/>
      <c r="O239" s="34"/>
      <c r="P239" s="39"/>
      <c r="R239" s="40"/>
      <c r="S239" s="40"/>
      <c r="T239" s="40"/>
      <c r="U239" s="40"/>
    </row>
    <row r="240" spans="4:21" s="37" customFormat="1" ht="15.75" customHeight="1" x14ac:dyDescent="0.35">
      <c r="D240" s="40"/>
      <c r="E240" s="34"/>
      <c r="F240" s="34"/>
      <c r="G240" s="34"/>
      <c r="H240" s="34"/>
      <c r="I240" s="34"/>
      <c r="J240" s="39"/>
      <c r="K240" s="34"/>
      <c r="L240" s="34"/>
      <c r="M240" s="34"/>
      <c r="N240" s="34"/>
      <c r="O240" s="34"/>
      <c r="P240" s="39"/>
      <c r="R240" s="40"/>
      <c r="S240" s="40"/>
      <c r="T240" s="40"/>
      <c r="U240" s="40"/>
    </row>
    <row r="241" spans="4:21" s="37" customFormat="1" ht="15.75" customHeight="1" x14ac:dyDescent="0.35">
      <c r="D241" s="40"/>
      <c r="E241" s="34"/>
      <c r="F241" s="34"/>
      <c r="G241" s="34"/>
      <c r="H241" s="34"/>
      <c r="I241" s="34"/>
      <c r="J241" s="39"/>
      <c r="K241" s="34"/>
      <c r="L241" s="34"/>
      <c r="M241" s="34"/>
      <c r="N241" s="34"/>
      <c r="O241" s="34"/>
      <c r="P241" s="39"/>
      <c r="R241" s="40"/>
      <c r="S241" s="40"/>
      <c r="T241" s="40"/>
      <c r="U241" s="40"/>
    </row>
    <row r="242" spans="4:21" s="37" customFormat="1" ht="15.75" customHeight="1" x14ac:dyDescent="0.35">
      <c r="D242" s="40"/>
      <c r="E242" s="34"/>
      <c r="F242" s="34"/>
      <c r="G242" s="34"/>
      <c r="H242" s="34"/>
      <c r="I242" s="34"/>
      <c r="J242" s="39"/>
      <c r="K242" s="34"/>
      <c r="L242" s="34"/>
      <c r="M242" s="34"/>
      <c r="N242" s="34"/>
      <c r="O242" s="34"/>
      <c r="P242" s="39"/>
      <c r="R242" s="40"/>
      <c r="S242" s="40"/>
      <c r="T242" s="40"/>
      <c r="U242" s="40"/>
    </row>
    <row r="243" spans="4:21" s="37" customFormat="1" ht="15.75" customHeight="1" x14ac:dyDescent="0.35">
      <c r="D243" s="40"/>
      <c r="E243" s="34"/>
      <c r="F243" s="34"/>
      <c r="G243" s="34"/>
      <c r="H243" s="34"/>
      <c r="I243" s="34"/>
      <c r="J243" s="39"/>
      <c r="K243" s="34"/>
      <c r="L243" s="34"/>
      <c r="M243" s="34"/>
      <c r="N243" s="34"/>
      <c r="O243" s="34"/>
      <c r="P243" s="39"/>
      <c r="R243" s="40"/>
      <c r="S243" s="40"/>
      <c r="T243" s="40"/>
      <c r="U243" s="40"/>
    </row>
    <row r="244" spans="4:21" s="37" customFormat="1" ht="15.75" customHeight="1" x14ac:dyDescent="0.35">
      <c r="D244" s="40"/>
      <c r="E244" s="34"/>
      <c r="F244" s="34"/>
      <c r="G244" s="34"/>
      <c r="H244" s="34"/>
      <c r="I244" s="34"/>
      <c r="J244" s="39"/>
      <c r="K244" s="34"/>
      <c r="L244" s="34"/>
      <c r="M244" s="34"/>
      <c r="N244" s="34"/>
      <c r="O244" s="34"/>
      <c r="P244" s="39"/>
      <c r="R244" s="40"/>
      <c r="S244" s="40"/>
      <c r="T244" s="40"/>
      <c r="U244" s="40"/>
    </row>
    <row r="245" spans="4:21" s="37" customFormat="1" ht="15.75" customHeight="1" x14ac:dyDescent="0.35">
      <c r="D245" s="40"/>
      <c r="E245" s="34"/>
      <c r="F245" s="34"/>
      <c r="G245" s="34"/>
      <c r="H245" s="34"/>
      <c r="I245" s="34"/>
      <c r="J245" s="39"/>
      <c r="K245" s="34"/>
      <c r="L245" s="34"/>
      <c r="M245" s="34"/>
      <c r="N245" s="34"/>
      <c r="O245" s="34"/>
      <c r="P245" s="39"/>
      <c r="R245" s="40"/>
      <c r="S245" s="40"/>
      <c r="T245" s="40"/>
      <c r="U245" s="40"/>
    </row>
    <row r="246" spans="4:21" s="37" customFormat="1" ht="15.75" customHeight="1" x14ac:dyDescent="0.35">
      <c r="D246" s="40"/>
      <c r="E246" s="34"/>
      <c r="F246" s="34"/>
      <c r="G246" s="34"/>
      <c r="H246" s="34"/>
      <c r="I246" s="34"/>
      <c r="J246" s="39"/>
      <c r="K246" s="34"/>
      <c r="L246" s="34"/>
      <c r="M246" s="34"/>
      <c r="N246" s="34"/>
      <c r="O246" s="34"/>
      <c r="P246" s="39"/>
      <c r="R246" s="40"/>
      <c r="S246" s="40"/>
      <c r="T246" s="40"/>
      <c r="U246" s="40"/>
    </row>
    <row r="247" spans="4:21" s="37" customFormat="1" ht="15.75" customHeight="1" x14ac:dyDescent="0.35">
      <c r="D247" s="40"/>
      <c r="E247" s="34"/>
      <c r="F247" s="34"/>
      <c r="G247" s="34"/>
      <c r="H247" s="34"/>
      <c r="I247" s="34"/>
      <c r="J247" s="39"/>
      <c r="K247" s="34"/>
      <c r="L247" s="34"/>
      <c r="M247" s="34"/>
      <c r="N247" s="34"/>
      <c r="O247" s="34"/>
      <c r="P247" s="39"/>
      <c r="R247" s="40"/>
      <c r="S247" s="40"/>
      <c r="T247" s="40"/>
      <c r="U247" s="40"/>
    </row>
    <row r="248" spans="4:21" s="37" customFormat="1" ht="15.75" customHeight="1" x14ac:dyDescent="0.35">
      <c r="D248" s="40"/>
      <c r="E248" s="34"/>
      <c r="F248" s="34"/>
      <c r="G248" s="34"/>
      <c r="H248" s="34"/>
      <c r="I248" s="34"/>
      <c r="J248" s="39"/>
      <c r="K248" s="34"/>
      <c r="L248" s="34"/>
      <c r="M248" s="34"/>
      <c r="N248" s="34"/>
      <c r="O248" s="34"/>
      <c r="P248" s="39"/>
      <c r="R248" s="40"/>
      <c r="S248" s="40"/>
      <c r="T248" s="40"/>
      <c r="U248" s="40"/>
    </row>
    <row r="249" spans="4:21" s="37" customFormat="1" ht="15.75" customHeight="1" x14ac:dyDescent="0.35">
      <c r="D249" s="40"/>
      <c r="E249" s="34"/>
      <c r="F249" s="34"/>
      <c r="G249" s="34"/>
      <c r="H249" s="34"/>
      <c r="I249" s="34"/>
      <c r="J249" s="39"/>
      <c r="K249" s="34"/>
      <c r="L249" s="34"/>
      <c r="M249" s="34"/>
      <c r="N249" s="34"/>
      <c r="O249" s="34"/>
      <c r="P249" s="39"/>
      <c r="R249" s="40"/>
      <c r="S249" s="40"/>
      <c r="T249" s="40"/>
      <c r="U249" s="40"/>
    </row>
    <row r="250" spans="4:21" s="37" customFormat="1" ht="15.75" customHeight="1" x14ac:dyDescent="0.35">
      <c r="D250" s="40"/>
      <c r="E250" s="34"/>
      <c r="F250" s="34"/>
      <c r="G250" s="34"/>
      <c r="H250" s="34"/>
      <c r="I250" s="34"/>
      <c r="J250" s="39"/>
      <c r="K250" s="34"/>
      <c r="L250" s="34"/>
      <c r="M250" s="34"/>
      <c r="N250" s="34"/>
      <c r="O250" s="34"/>
      <c r="P250" s="39"/>
      <c r="R250" s="40"/>
      <c r="S250" s="40"/>
      <c r="T250" s="40"/>
      <c r="U250" s="40"/>
    </row>
    <row r="251" spans="4:21" s="37" customFormat="1" ht="15.75" customHeight="1" x14ac:dyDescent="0.35">
      <c r="D251" s="40"/>
      <c r="E251" s="34"/>
      <c r="F251" s="34"/>
      <c r="G251" s="34"/>
      <c r="H251" s="34"/>
      <c r="I251" s="34"/>
      <c r="J251" s="39"/>
      <c r="K251" s="34"/>
      <c r="L251" s="34"/>
      <c r="M251" s="34"/>
      <c r="N251" s="34"/>
      <c r="O251" s="34"/>
      <c r="P251" s="39"/>
      <c r="R251" s="40"/>
      <c r="S251" s="40"/>
      <c r="T251" s="40"/>
      <c r="U251" s="40"/>
    </row>
    <row r="252" spans="4:21" s="37" customFormat="1" ht="15.75" customHeight="1" x14ac:dyDescent="0.35">
      <c r="D252" s="40"/>
      <c r="E252" s="34"/>
      <c r="F252" s="34"/>
      <c r="G252" s="34"/>
      <c r="H252" s="34"/>
      <c r="I252" s="34"/>
      <c r="J252" s="39"/>
      <c r="K252" s="34"/>
      <c r="L252" s="34"/>
      <c r="M252" s="34"/>
      <c r="N252" s="34"/>
      <c r="O252" s="34"/>
      <c r="P252" s="39"/>
      <c r="R252" s="40"/>
      <c r="S252" s="40"/>
      <c r="T252" s="40"/>
      <c r="U252" s="40"/>
    </row>
    <row r="253" spans="4:21" s="37" customFormat="1" ht="15.75" customHeight="1" x14ac:dyDescent="0.35">
      <c r="D253" s="40"/>
      <c r="E253" s="34"/>
      <c r="F253" s="34"/>
      <c r="G253" s="34"/>
      <c r="H253" s="34"/>
      <c r="I253" s="34"/>
      <c r="J253" s="39"/>
      <c r="K253" s="34"/>
      <c r="L253" s="34"/>
      <c r="M253" s="34"/>
      <c r="N253" s="34"/>
      <c r="O253" s="34"/>
      <c r="P253" s="39"/>
      <c r="R253" s="40"/>
      <c r="S253" s="40"/>
      <c r="T253" s="40"/>
      <c r="U253" s="40"/>
    </row>
    <row r="254" spans="4:21" s="37" customFormat="1" ht="15.75" customHeight="1" x14ac:dyDescent="0.35">
      <c r="D254" s="40"/>
      <c r="E254" s="34"/>
      <c r="F254" s="34"/>
      <c r="G254" s="34"/>
      <c r="H254" s="34"/>
      <c r="I254" s="34"/>
      <c r="J254" s="39"/>
      <c r="K254" s="34"/>
      <c r="L254" s="34"/>
      <c r="M254" s="34"/>
      <c r="N254" s="34"/>
      <c r="O254" s="34"/>
      <c r="P254" s="39"/>
      <c r="R254" s="40"/>
      <c r="S254" s="40"/>
      <c r="T254" s="40"/>
      <c r="U254" s="40"/>
    </row>
    <row r="255" spans="4:21" s="37" customFormat="1" ht="15.75" customHeight="1" x14ac:dyDescent="0.35">
      <c r="D255" s="40"/>
      <c r="E255" s="34"/>
      <c r="F255" s="34"/>
      <c r="G255" s="34"/>
      <c r="H255" s="34"/>
      <c r="I255" s="34"/>
      <c r="J255" s="39"/>
      <c r="K255" s="34"/>
      <c r="L255" s="34"/>
      <c r="M255" s="34"/>
      <c r="N255" s="34"/>
      <c r="O255" s="34"/>
      <c r="P255" s="39"/>
      <c r="R255" s="40"/>
      <c r="S255" s="40"/>
      <c r="T255" s="40"/>
      <c r="U255" s="40"/>
    </row>
    <row r="256" spans="4:21" s="37" customFormat="1" ht="15.75" customHeight="1" x14ac:dyDescent="0.35">
      <c r="D256" s="40"/>
      <c r="E256" s="34"/>
      <c r="F256" s="34"/>
      <c r="G256" s="34"/>
      <c r="H256" s="34"/>
      <c r="I256" s="34"/>
      <c r="J256" s="39"/>
      <c r="K256" s="34"/>
      <c r="L256" s="34"/>
      <c r="M256" s="34"/>
      <c r="N256" s="34"/>
      <c r="O256" s="34"/>
      <c r="P256" s="39"/>
      <c r="R256" s="40"/>
      <c r="S256" s="40"/>
      <c r="T256" s="40"/>
      <c r="U256" s="40"/>
    </row>
    <row r="257" spans="4:21" s="37" customFormat="1" ht="15.75" customHeight="1" x14ac:dyDescent="0.35">
      <c r="D257" s="40"/>
      <c r="E257" s="34"/>
      <c r="F257" s="34"/>
      <c r="G257" s="34"/>
      <c r="H257" s="34"/>
      <c r="I257" s="34"/>
      <c r="J257" s="39"/>
      <c r="K257" s="34"/>
      <c r="L257" s="34"/>
      <c r="M257" s="34"/>
      <c r="N257" s="34"/>
      <c r="O257" s="34"/>
      <c r="P257" s="39"/>
      <c r="R257" s="40"/>
      <c r="S257" s="40"/>
      <c r="T257" s="40"/>
      <c r="U257" s="40"/>
    </row>
    <row r="258" spans="4:21" s="37" customFormat="1" ht="15.75" customHeight="1" x14ac:dyDescent="0.35">
      <c r="D258" s="40"/>
      <c r="E258" s="34"/>
      <c r="F258" s="34"/>
      <c r="G258" s="34"/>
      <c r="H258" s="34"/>
      <c r="I258" s="34"/>
      <c r="J258" s="39"/>
      <c r="K258" s="34"/>
      <c r="L258" s="34"/>
      <c r="M258" s="34"/>
      <c r="N258" s="34"/>
      <c r="O258" s="34"/>
      <c r="P258" s="39"/>
      <c r="R258" s="40"/>
      <c r="S258" s="40"/>
      <c r="T258" s="40"/>
      <c r="U258" s="40"/>
    </row>
    <row r="259" spans="4:21" s="37" customFormat="1" ht="15.75" customHeight="1" x14ac:dyDescent="0.35">
      <c r="D259" s="40"/>
      <c r="E259" s="34"/>
      <c r="F259" s="34"/>
      <c r="G259" s="34"/>
      <c r="H259" s="34"/>
      <c r="I259" s="34"/>
      <c r="J259" s="39"/>
      <c r="K259" s="34"/>
      <c r="L259" s="34"/>
      <c r="M259" s="34"/>
      <c r="N259" s="34"/>
      <c r="O259" s="34"/>
      <c r="P259" s="39"/>
      <c r="R259" s="40"/>
      <c r="S259" s="40"/>
      <c r="T259" s="40"/>
      <c r="U259" s="40"/>
    </row>
    <row r="260" spans="4:21" s="37" customFormat="1" ht="15.75" customHeight="1" x14ac:dyDescent="0.35">
      <c r="D260" s="40"/>
      <c r="E260" s="34"/>
      <c r="F260" s="34"/>
      <c r="G260" s="34"/>
      <c r="H260" s="34"/>
      <c r="I260" s="34"/>
      <c r="J260" s="39"/>
      <c r="K260" s="34"/>
      <c r="L260" s="34"/>
      <c r="M260" s="34"/>
      <c r="N260" s="34"/>
      <c r="O260" s="34"/>
      <c r="P260" s="39"/>
      <c r="R260" s="40"/>
      <c r="S260" s="40"/>
      <c r="T260" s="40"/>
      <c r="U260" s="40"/>
    </row>
    <row r="261" spans="4:21" s="37" customFormat="1" ht="15.75" customHeight="1" x14ac:dyDescent="0.35">
      <c r="D261" s="40"/>
      <c r="E261" s="34"/>
      <c r="F261" s="34"/>
      <c r="G261" s="34"/>
      <c r="H261" s="34"/>
      <c r="I261" s="34"/>
      <c r="J261" s="39"/>
      <c r="K261" s="34"/>
      <c r="L261" s="34"/>
      <c r="M261" s="34"/>
      <c r="N261" s="34"/>
      <c r="O261" s="34"/>
      <c r="P261" s="39"/>
      <c r="R261" s="40"/>
      <c r="S261" s="40"/>
      <c r="T261" s="40"/>
      <c r="U261" s="40"/>
    </row>
    <row r="262" spans="4:21" s="37" customFormat="1" ht="15.75" customHeight="1" x14ac:dyDescent="0.35">
      <c r="D262" s="40"/>
      <c r="E262" s="34"/>
      <c r="F262" s="34"/>
      <c r="G262" s="34"/>
      <c r="H262" s="34"/>
      <c r="I262" s="34"/>
      <c r="J262" s="39"/>
      <c r="K262" s="34"/>
      <c r="L262" s="34"/>
      <c r="M262" s="34"/>
      <c r="N262" s="34"/>
      <c r="O262" s="34"/>
      <c r="P262" s="39"/>
      <c r="R262" s="40"/>
      <c r="S262" s="40"/>
      <c r="T262" s="40"/>
      <c r="U262" s="40"/>
    </row>
    <row r="263" spans="4:21" s="37" customFormat="1" ht="15.75" customHeight="1" x14ac:dyDescent="0.35">
      <c r="D263" s="40"/>
      <c r="E263" s="34"/>
      <c r="F263" s="34"/>
      <c r="G263" s="34"/>
      <c r="H263" s="34"/>
      <c r="I263" s="34"/>
      <c r="J263" s="39"/>
      <c r="K263" s="34"/>
      <c r="L263" s="34"/>
      <c r="M263" s="34"/>
      <c r="N263" s="34"/>
      <c r="O263" s="34"/>
      <c r="P263" s="39"/>
      <c r="R263" s="40"/>
      <c r="S263" s="40"/>
      <c r="T263" s="40"/>
      <c r="U263" s="40"/>
    </row>
    <row r="264" spans="4:21" s="37" customFormat="1" ht="15.75" customHeight="1" x14ac:dyDescent="0.35">
      <c r="D264" s="40"/>
      <c r="E264" s="34"/>
      <c r="F264" s="34"/>
      <c r="G264" s="34"/>
      <c r="H264" s="34"/>
      <c r="I264" s="34"/>
      <c r="J264" s="39"/>
      <c r="K264" s="34"/>
      <c r="L264" s="34"/>
      <c r="M264" s="34"/>
      <c r="N264" s="34"/>
      <c r="O264" s="34"/>
      <c r="P264" s="39"/>
      <c r="R264" s="40"/>
      <c r="S264" s="40"/>
      <c r="T264" s="40"/>
      <c r="U264" s="40"/>
    </row>
    <row r="265" spans="4:21" s="37" customFormat="1" ht="15.75" customHeight="1" x14ac:dyDescent="0.35">
      <c r="D265" s="40"/>
      <c r="E265" s="34"/>
      <c r="F265" s="34"/>
      <c r="G265" s="34"/>
      <c r="H265" s="34"/>
      <c r="I265" s="34"/>
      <c r="J265" s="39"/>
      <c r="K265" s="34"/>
      <c r="L265" s="34"/>
      <c r="M265" s="34"/>
      <c r="N265" s="34"/>
      <c r="O265" s="34"/>
      <c r="P265" s="39"/>
      <c r="R265" s="40"/>
      <c r="S265" s="40"/>
      <c r="T265" s="40"/>
      <c r="U265" s="40"/>
    </row>
    <row r="266" spans="4:21" s="37" customFormat="1" ht="15.75" customHeight="1" x14ac:dyDescent="0.35">
      <c r="D266" s="40"/>
      <c r="E266" s="34"/>
      <c r="F266" s="34"/>
      <c r="G266" s="34"/>
      <c r="H266" s="34"/>
      <c r="I266" s="34"/>
      <c r="J266" s="39"/>
      <c r="K266" s="34"/>
      <c r="L266" s="34"/>
      <c r="M266" s="34"/>
      <c r="N266" s="34"/>
      <c r="O266" s="34"/>
      <c r="P266" s="39"/>
      <c r="R266" s="40"/>
      <c r="S266" s="40"/>
      <c r="T266" s="40"/>
      <c r="U266" s="40"/>
    </row>
    <row r="267" spans="4:21" s="37" customFormat="1" ht="15.75" customHeight="1" x14ac:dyDescent="0.35">
      <c r="D267" s="40"/>
      <c r="E267" s="34"/>
      <c r="F267" s="34"/>
      <c r="G267" s="34"/>
      <c r="H267" s="34"/>
      <c r="I267" s="34"/>
      <c r="J267" s="39"/>
      <c r="K267" s="34"/>
      <c r="L267" s="34"/>
      <c r="M267" s="34"/>
      <c r="N267" s="34"/>
      <c r="O267" s="34"/>
      <c r="P267" s="39"/>
      <c r="R267" s="40"/>
      <c r="S267" s="40"/>
      <c r="T267" s="40"/>
      <c r="U267" s="40"/>
    </row>
    <row r="268" spans="4:21" s="37" customFormat="1" ht="15.75" customHeight="1" x14ac:dyDescent="0.35">
      <c r="D268" s="40"/>
      <c r="E268" s="34"/>
      <c r="F268" s="34"/>
      <c r="G268" s="34"/>
      <c r="H268" s="34"/>
      <c r="I268" s="34"/>
      <c r="J268" s="39"/>
      <c r="K268" s="34"/>
      <c r="L268" s="34"/>
      <c r="M268" s="34"/>
      <c r="N268" s="34"/>
      <c r="O268" s="34"/>
      <c r="P268" s="39"/>
      <c r="R268" s="40"/>
      <c r="S268" s="40"/>
      <c r="T268" s="40"/>
      <c r="U268" s="40"/>
    </row>
    <row r="269" spans="4:21" s="37" customFormat="1" ht="15.75" customHeight="1" x14ac:dyDescent="0.35">
      <c r="D269" s="40"/>
      <c r="E269" s="34"/>
      <c r="F269" s="34"/>
      <c r="G269" s="34"/>
      <c r="H269" s="34"/>
      <c r="I269" s="34"/>
      <c r="J269" s="39"/>
      <c r="K269" s="34"/>
      <c r="L269" s="34"/>
      <c r="M269" s="34"/>
      <c r="N269" s="34"/>
      <c r="O269" s="34"/>
      <c r="P269" s="39"/>
      <c r="R269" s="40"/>
      <c r="S269" s="40"/>
      <c r="T269" s="40"/>
      <c r="U269" s="40"/>
    </row>
    <row r="270" spans="4:21" s="37" customFormat="1" ht="15.75" customHeight="1" x14ac:dyDescent="0.35">
      <c r="D270" s="40"/>
      <c r="E270" s="34"/>
      <c r="F270" s="34"/>
      <c r="G270" s="34"/>
      <c r="H270" s="34"/>
      <c r="I270" s="34"/>
      <c r="J270" s="39"/>
      <c r="K270" s="34"/>
      <c r="L270" s="34"/>
      <c r="M270" s="34"/>
      <c r="N270" s="34"/>
      <c r="O270" s="34"/>
      <c r="P270" s="39"/>
      <c r="R270" s="40"/>
      <c r="S270" s="40"/>
      <c r="T270" s="40"/>
      <c r="U270" s="40"/>
    </row>
    <row r="271" spans="4:21" s="37" customFormat="1" ht="15.75" customHeight="1" x14ac:dyDescent="0.35">
      <c r="D271" s="40"/>
      <c r="E271" s="34"/>
      <c r="F271" s="34"/>
      <c r="G271" s="34"/>
      <c r="H271" s="34"/>
      <c r="I271" s="34"/>
      <c r="J271" s="39"/>
      <c r="K271" s="34"/>
      <c r="L271" s="34"/>
      <c r="M271" s="34"/>
      <c r="N271" s="34"/>
      <c r="O271" s="34"/>
      <c r="P271" s="39"/>
      <c r="R271" s="40"/>
      <c r="S271" s="40"/>
      <c r="T271" s="40"/>
      <c r="U271" s="40"/>
    </row>
    <row r="272" spans="4:21" s="37" customFormat="1" ht="15.75" customHeight="1" x14ac:dyDescent="0.35">
      <c r="D272" s="40"/>
      <c r="E272" s="34"/>
      <c r="F272" s="34"/>
      <c r="G272" s="34"/>
      <c r="H272" s="34"/>
      <c r="I272" s="34"/>
      <c r="J272" s="39"/>
      <c r="K272" s="34"/>
      <c r="L272" s="34"/>
      <c r="M272" s="34"/>
      <c r="N272" s="34"/>
      <c r="O272" s="34"/>
      <c r="P272" s="39"/>
      <c r="R272" s="40"/>
      <c r="S272" s="40"/>
      <c r="T272" s="40"/>
      <c r="U272" s="40"/>
    </row>
    <row r="273" spans="4:21" s="37" customFormat="1" ht="15.75" customHeight="1" x14ac:dyDescent="0.35">
      <c r="D273" s="40"/>
      <c r="E273" s="34"/>
      <c r="F273" s="34"/>
      <c r="G273" s="34"/>
      <c r="H273" s="34"/>
      <c r="I273" s="34"/>
      <c r="J273" s="39"/>
      <c r="K273" s="34"/>
      <c r="L273" s="34"/>
      <c r="M273" s="34"/>
      <c r="N273" s="34"/>
      <c r="O273" s="34"/>
      <c r="P273" s="39"/>
      <c r="R273" s="40"/>
      <c r="S273" s="40"/>
      <c r="T273" s="40"/>
      <c r="U273" s="40"/>
    </row>
    <row r="274" spans="4:21" s="37" customFormat="1" ht="15.75" customHeight="1" x14ac:dyDescent="0.35">
      <c r="D274" s="40"/>
      <c r="E274" s="34"/>
      <c r="F274" s="34"/>
      <c r="G274" s="34"/>
      <c r="H274" s="34"/>
      <c r="I274" s="34"/>
      <c r="J274" s="39"/>
      <c r="K274" s="34"/>
      <c r="L274" s="34"/>
      <c r="M274" s="34"/>
      <c r="N274" s="34"/>
      <c r="O274" s="34"/>
      <c r="P274" s="39"/>
      <c r="R274" s="40"/>
      <c r="S274" s="40"/>
      <c r="T274" s="40"/>
      <c r="U274" s="40"/>
    </row>
    <row r="275" spans="4:21" s="37" customFormat="1" ht="15.75" customHeight="1" x14ac:dyDescent="0.35">
      <c r="D275" s="40"/>
      <c r="E275" s="34"/>
      <c r="F275" s="34"/>
      <c r="G275" s="34"/>
      <c r="H275" s="34"/>
      <c r="I275" s="34"/>
      <c r="J275" s="39"/>
      <c r="K275" s="34"/>
      <c r="L275" s="34"/>
      <c r="M275" s="34"/>
      <c r="N275" s="34"/>
      <c r="O275" s="34"/>
      <c r="P275" s="39"/>
      <c r="R275" s="40"/>
      <c r="S275" s="40"/>
      <c r="T275" s="40"/>
      <c r="U275" s="40"/>
    </row>
    <row r="276" spans="4:21" s="37" customFormat="1" ht="15.75" customHeight="1" x14ac:dyDescent="0.35">
      <c r="D276" s="40"/>
      <c r="E276" s="34"/>
      <c r="F276" s="34"/>
      <c r="G276" s="34"/>
      <c r="H276" s="34"/>
      <c r="I276" s="34"/>
      <c r="J276" s="39"/>
      <c r="K276" s="34"/>
      <c r="L276" s="34"/>
      <c r="M276" s="34"/>
      <c r="N276" s="34"/>
      <c r="O276" s="34"/>
      <c r="P276" s="39"/>
      <c r="R276" s="40"/>
      <c r="S276" s="40"/>
      <c r="T276" s="40"/>
      <c r="U276" s="40"/>
    </row>
    <row r="277" spans="4:21" s="37" customFormat="1" ht="15.75" customHeight="1" x14ac:dyDescent="0.35">
      <c r="D277" s="40"/>
      <c r="E277" s="34"/>
      <c r="F277" s="34"/>
      <c r="G277" s="34"/>
      <c r="H277" s="34"/>
      <c r="I277" s="34"/>
      <c r="J277" s="39"/>
      <c r="K277" s="34"/>
      <c r="L277" s="34"/>
      <c r="M277" s="34"/>
      <c r="N277" s="34"/>
      <c r="O277" s="34"/>
      <c r="P277" s="39"/>
      <c r="R277" s="40"/>
      <c r="S277" s="40"/>
      <c r="T277" s="40"/>
      <c r="U277" s="40"/>
    </row>
    <row r="278" spans="4:21" s="37" customFormat="1" ht="15.75" customHeight="1" x14ac:dyDescent="0.35">
      <c r="D278" s="40"/>
      <c r="E278" s="34"/>
      <c r="F278" s="34"/>
      <c r="G278" s="34"/>
      <c r="H278" s="34"/>
      <c r="I278" s="34"/>
      <c r="J278" s="39"/>
      <c r="K278" s="34"/>
      <c r="L278" s="34"/>
      <c r="M278" s="34"/>
      <c r="N278" s="34"/>
      <c r="O278" s="34"/>
      <c r="P278" s="39"/>
      <c r="R278" s="40"/>
      <c r="S278" s="40"/>
      <c r="T278" s="40"/>
      <c r="U278" s="40"/>
    </row>
    <row r="279" spans="4:21" s="37" customFormat="1" ht="15.75" customHeight="1" x14ac:dyDescent="0.35">
      <c r="D279" s="40"/>
      <c r="E279" s="34"/>
      <c r="F279" s="34"/>
      <c r="G279" s="34"/>
      <c r="H279" s="34"/>
      <c r="I279" s="34"/>
      <c r="J279" s="39"/>
      <c r="K279" s="34"/>
      <c r="L279" s="34"/>
      <c r="M279" s="34"/>
      <c r="N279" s="34"/>
      <c r="O279" s="34"/>
      <c r="P279" s="39"/>
      <c r="R279" s="40"/>
      <c r="S279" s="40"/>
      <c r="T279" s="40"/>
      <c r="U279" s="40"/>
    </row>
    <row r="280" spans="4:21" s="37" customFormat="1" ht="15.75" customHeight="1" x14ac:dyDescent="0.35">
      <c r="D280" s="40"/>
      <c r="E280" s="34"/>
      <c r="F280" s="34"/>
      <c r="G280" s="34"/>
      <c r="H280" s="34"/>
      <c r="I280" s="34"/>
      <c r="J280" s="39"/>
      <c r="K280" s="34"/>
      <c r="L280" s="34"/>
      <c r="M280" s="34"/>
      <c r="N280" s="34"/>
      <c r="O280" s="34"/>
      <c r="P280" s="39"/>
      <c r="R280" s="40"/>
      <c r="S280" s="40"/>
      <c r="T280" s="40"/>
      <c r="U280" s="40"/>
    </row>
    <row r="281" spans="4:21" s="37" customFormat="1" ht="15.75" customHeight="1" x14ac:dyDescent="0.35">
      <c r="D281" s="40"/>
      <c r="E281" s="34"/>
      <c r="F281" s="34"/>
      <c r="G281" s="34"/>
      <c r="H281" s="34"/>
      <c r="I281" s="34"/>
      <c r="J281" s="39"/>
      <c r="K281" s="34"/>
      <c r="L281" s="34"/>
      <c r="M281" s="34"/>
      <c r="N281" s="34"/>
      <c r="O281" s="34"/>
      <c r="P281" s="39"/>
      <c r="R281" s="40"/>
      <c r="S281" s="40"/>
      <c r="T281" s="40"/>
      <c r="U281" s="40"/>
    </row>
    <row r="282" spans="4:21" s="37" customFormat="1" ht="15.75" customHeight="1" x14ac:dyDescent="0.35">
      <c r="D282" s="40"/>
      <c r="E282" s="34"/>
      <c r="F282" s="34"/>
      <c r="G282" s="34"/>
      <c r="H282" s="34"/>
      <c r="I282" s="34"/>
      <c r="J282" s="39"/>
      <c r="K282" s="34"/>
      <c r="L282" s="34"/>
      <c r="M282" s="34"/>
      <c r="N282" s="34"/>
      <c r="O282" s="34"/>
      <c r="P282" s="39"/>
      <c r="R282" s="40"/>
      <c r="S282" s="40"/>
      <c r="T282" s="40"/>
      <c r="U282" s="40"/>
    </row>
    <row r="283" spans="4:21" s="37" customFormat="1" ht="15.75" customHeight="1" x14ac:dyDescent="0.35">
      <c r="D283" s="40"/>
      <c r="E283" s="34"/>
      <c r="F283" s="34"/>
      <c r="G283" s="34"/>
      <c r="H283" s="34"/>
      <c r="I283" s="34"/>
      <c r="J283" s="39"/>
      <c r="K283" s="34"/>
      <c r="L283" s="34"/>
      <c r="M283" s="34"/>
      <c r="N283" s="34"/>
      <c r="O283" s="34"/>
      <c r="P283" s="39"/>
      <c r="R283" s="40"/>
      <c r="S283" s="40"/>
      <c r="T283" s="40"/>
      <c r="U283" s="40"/>
    </row>
    <row r="284" spans="4:21" s="37" customFormat="1" ht="15.75" customHeight="1" x14ac:dyDescent="0.35">
      <c r="D284" s="40"/>
      <c r="E284" s="34"/>
      <c r="F284" s="34"/>
      <c r="G284" s="34"/>
      <c r="H284" s="34"/>
      <c r="I284" s="34"/>
      <c r="J284" s="39"/>
      <c r="K284" s="34"/>
      <c r="L284" s="34"/>
      <c r="M284" s="34"/>
      <c r="N284" s="34"/>
      <c r="O284" s="34"/>
      <c r="P284" s="39"/>
      <c r="R284" s="40"/>
      <c r="S284" s="40"/>
      <c r="T284" s="40"/>
      <c r="U284" s="40"/>
    </row>
    <row r="285" spans="4:21" s="37" customFormat="1" ht="15.75" customHeight="1" x14ac:dyDescent="0.35">
      <c r="D285" s="40"/>
      <c r="E285" s="34"/>
      <c r="F285" s="34"/>
      <c r="G285" s="34"/>
      <c r="H285" s="34"/>
      <c r="I285" s="34"/>
      <c r="J285" s="39"/>
      <c r="K285" s="34"/>
      <c r="L285" s="34"/>
      <c r="M285" s="34"/>
      <c r="N285" s="34"/>
      <c r="O285" s="34"/>
      <c r="P285" s="39"/>
      <c r="R285" s="40"/>
      <c r="S285" s="40"/>
      <c r="T285" s="40"/>
      <c r="U285" s="40"/>
    </row>
    <row r="286" spans="4:21" s="37" customFormat="1" ht="15.75" customHeight="1" x14ac:dyDescent="0.35">
      <c r="D286" s="40"/>
      <c r="E286" s="34"/>
      <c r="F286" s="34"/>
      <c r="G286" s="34"/>
      <c r="H286" s="34"/>
      <c r="I286" s="34"/>
      <c r="J286" s="39"/>
      <c r="K286" s="34"/>
      <c r="L286" s="34"/>
      <c r="M286" s="34"/>
      <c r="N286" s="34"/>
      <c r="O286" s="34"/>
      <c r="P286" s="39"/>
      <c r="R286" s="40"/>
      <c r="S286" s="40"/>
      <c r="T286" s="40"/>
      <c r="U286" s="40"/>
    </row>
    <row r="287" spans="4:21" s="37" customFormat="1" ht="15.75" customHeight="1" x14ac:dyDescent="0.35">
      <c r="D287" s="40"/>
      <c r="E287" s="34"/>
      <c r="F287" s="34"/>
      <c r="G287" s="34"/>
      <c r="H287" s="34"/>
      <c r="I287" s="34"/>
      <c r="J287" s="39"/>
      <c r="K287" s="34"/>
      <c r="L287" s="34"/>
      <c r="M287" s="34"/>
      <c r="N287" s="34"/>
      <c r="O287" s="34"/>
      <c r="P287" s="39"/>
      <c r="R287" s="40"/>
      <c r="S287" s="40"/>
      <c r="T287" s="40"/>
      <c r="U287" s="40"/>
    </row>
    <row r="288" spans="4:21" s="37" customFormat="1" ht="15.75" customHeight="1" x14ac:dyDescent="0.35">
      <c r="D288" s="40"/>
      <c r="E288" s="34"/>
      <c r="F288" s="34"/>
      <c r="G288" s="34"/>
      <c r="H288" s="34"/>
      <c r="I288" s="34"/>
      <c r="J288" s="39"/>
      <c r="K288" s="34"/>
      <c r="L288" s="34"/>
      <c r="M288" s="34"/>
      <c r="N288" s="34"/>
      <c r="O288" s="34"/>
      <c r="P288" s="39"/>
      <c r="R288" s="40"/>
      <c r="S288" s="40"/>
      <c r="T288" s="40"/>
      <c r="U288" s="40"/>
    </row>
    <row r="289" spans="4:21" s="37" customFormat="1" ht="15.75" customHeight="1" x14ac:dyDescent="0.35">
      <c r="D289" s="40"/>
      <c r="E289" s="34"/>
      <c r="F289" s="34"/>
      <c r="G289" s="34"/>
      <c r="H289" s="34"/>
      <c r="I289" s="34"/>
      <c r="J289" s="39"/>
      <c r="K289" s="34"/>
      <c r="L289" s="34"/>
      <c r="M289" s="34"/>
      <c r="N289" s="34"/>
      <c r="O289" s="34"/>
      <c r="P289" s="39"/>
      <c r="R289" s="40"/>
      <c r="S289" s="40"/>
      <c r="T289" s="40"/>
      <c r="U289" s="40"/>
    </row>
    <row r="290" spans="4:21" s="37" customFormat="1" ht="15.75" customHeight="1" x14ac:dyDescent="0.35">
      <c r="D290" s="40"/>
      <c r="E290" s="34"/>
      <c r="F290" s="34"/>
      <c r="G290" s="34"/>
      <c r="H290" s="34"/>
      <c r="I290" s="34"/>
      <c r="J290" s="39"/>
      <c r="K290" s="34"/>
      <c r="L290" s="34"/>
      <c r="M290" s="34"/>
      <c r="N290" s="34"/>
      <c r="O290" s="34"/>
      <c r="P290" s="39"/>
      <c r="R290" s="40"/>
      <c r="S290" s="40"/>
      <c r="T290" s="40"/>
      <c r="U290" s="40"/>
    </row>
    <row r="291" spans="4:21" s="37" customFormat="1" ht="15.75" customHeight="1" x14ac:dyDescent="0.35">
      <c r="D291" s="40"/>
      <c r="E291" s="34"/>
      <c r="F291" s="34"/>
      <c r="G291" s="34"/>
      <c r="H291" s="34"/>
      <c r="I291" s="34"/>
      <c r="J291" s="39"/>
      <c r="K291" s="34"/>
      <c r="L291" s="34"/>
      <c r="M291" s="34"/>
      <c r="N291" s="34"/>
      <c r="O291" s="34"/>
      <c r="P291" s="39"/>
      <c r="R291" s="40"/>
      <c r="S291" s="40"/>
      <c r="T291" s="40"/>
      <c r="U291" s="40"/>
    </row>
    <row r="292" spans="4:21" s="37" customFormat="1" ht="15.75" customHeight="1" x14ac:dyDescent="0.35">
      <c r="D292" s="40"/>
      <c r="E292" s="34"/>
      <c r="F292" s="34"/>
      <c r="G292" s="34"/>
      <c r="H292" s="34"/>
      <c r="I292" s="34"/>
      <c r="J292" s="39"/>
      <c r="K292" s="34"/>
      <c r="L292" s="34"/>
      <c r="M292" s="34"/>
      <c r="N292" s="34"/>
      <c r="O292" s="34"/>
      <c r="P292" s="39"/>
      <c r="R292" s="40"/>
      <c r="S292" s="40"/>
      <c r="T292" s="40"/>
      <c r="U292" s="40"/>
    </row>
    <row r="293" spans="4:21" s="37" customFormat="1" ht="15.75" customHeight="1" x14ac:dyDescent="0.35">
      <c r="D293" s="40"/>
      <c r="E293" s="34"/>
      <c r="F293" s="34"/>
      <c r="G293" s="34"/>
      <c r="H293" s="34"/>
      <c r="I293" s="34"/>
      <c r="J293" s="39"/>
      <c r="K293" s="34"/>
      <c r="L293" s="34"/>
      <c r="M293" s="34"/>
      <c r="N293" s="34"/>
      <c r="O293" s="34"/>
      <c r="P293" s="39"/>
      <c r="R293" s="40"/>
      <c r="S293" s="40"/>
      <c r="T293" s="40"/>
      <c r="U293" s="40"/>
    </row>
    <row r="294" spans="4:21" s="37" customFormat="1" ht="15.75" customHeight="1" x14ac:dyDescent="0.35">
      <c r="D294" s="40"/>
      <c r="E294" s="34"/>
      <c r="F294" s="34"/>
      <c r="G294" s="34"/>
      <c r="H294" s="34"/>
      <c r="I294" s="34"/>
      <c r="J294" s="39"/>
      <c r="K294" s="34"/>
      <c r="L294" s="34"/>
      <c r="M294" s="34"/>
      <c r="N294" s="34"/>
      <c r="O294" s="34"/>
      <c r="P294" s="39"/>
      <c r="R294" s="40"/>
      <c r="S294" s="40"/>
      <c r="T294" s="40"/>
      <c r="U294" s="40"/>
    </row>
    <row r="295" spans="4:21" s="37" customFormat="1" ht="15.75" customHeight="1" x14ac:dyDescent="0.35">
      <c r="D295" s="40"/>
      <c r="E295" s="34"/>
      <c r="F295" s="34"/>
      <c r="G295" s="34"/>
      <c r="H295" s="34"/>
      <c r="I295" s="34"/>
      <c r="J295" s="39"/>
      <c r="K295" s="34"/>
      <c r="L295" s="34"/>
      <c r="M295" s="34"/>
      <c r="N295" s="34"/>
      <c r="O295" s="34"/>
      <c r="P295" s="39"/>
      <c r="R295" s="40"/>
      <c r="S295" s="40"/>
      <c r="T295" s="40"/>
      <c r="U295" s="40"/>
    </row>
    <row r="296" spans="4:21" s="37" customFormat="1" ht="15.75" customHeight="1" x14ac:dyDescent="0.35">
      <c r="D296" s="40"/>
      <c r="E296" s="34"/>
      <c r="F296" s="34"/>
      <c r="G296" s="34"/>
      <c r="H296" s="34"/>
      <c r="I296" s="34"/>
      <c r="J296" s="39"/>
      <c r="K296" s="34"/>
      <c r="L296" s="34"/>
      <c r="M296" s="34"/>
      <c r="N296" s="34"/>
      <c r="O296" s="34"/>
      <c r="P296" s="39"/>
      <c r="R296" s="40"/>
      <c r="S296" s="40"/>
      <c r="T296" s="40"/>
      <c r="U296" s="40"/>
    </row>
    <row r="297" spans="4:21" s="37" customFormat="1" ht="15.75" customHeight="1" x14ac:dyDescent="0.35">
      <c r="D297" s="40"/>
      <c r="E297" s="34"/>
      <c r="F297" s="34"/>
      <c r="G297" s="34"/>
      <c r="H297" s="34"/>
      <c r="I297" s="34"/>
      <c r="J297" s="39"/>
      <c r="K297" s="34"/>
      <c r="L297" s="34"/>
      <c r="M297" s="34"/>
      <c r="N297" s="34"/>
      <c r="O297" s="34"/>
      <c r="P297" s="39"/>
      <c r="R297" s="40"/>
      <c r="S297" s="40"/>
      <c r="T297" s="40"/>
      <c r="U297" s="40"/>
    </row>
    <row r="298" spans="4:21" s="37" customFormat="1" ht="15.75" customHeight="1" x14ac:dyDescent="0.35">
      <c r="D298" s="40"/>
      <c r="E298" s="34"/>
      <c r="F298" s="34"/>
      <c r="G298" s="34"/>
      <c r="H298" s="34"/>
      <c r="I298" s="34"/>
      <c r="J298" s="39"/>
      <c r="K298" s="34"/>
      <c r="L298" s="34"/>
      <c r="M298" s="34"/>
      <c r="N298" s="34"/>
      <c r="O298" s="34"/>
      <c r="P298" s="39"/>
      <c r="R298" s="40"/>
      <c r="S298" s="40"/>
      <c r="T298" s="40"/>
      <c r="U298" s="40"/>
    </row>
    <row r="299" spans="4:21" s="37" customFormat="1" ht="15.75" customHeight="1" x14ac:dyDescent="0.35">
      <c r="D299" s="40"/>
      <c r="E299" s="34"/>
      <c r="F299" s="34"/>
      <c r="G299" s="34"/>
      <c r="H299" s="34"/>
      <c r="I299" s="34"/>
      <c r="J299" s="39"/>
      <c r="K299" s="34"/>
      <c r="L299" s="34"/>
      <c r="M299" s="34"/>
      <c r="N299" s="34"/>
      <c r="O299" s="34"/>
      <c r="P299" s="39"/>
      <c r="R299" s="40"/>
      <c r="S299" s="40"/>
      <c r="T299" s="40"/>
      <c r="U299" s="40"/>
    </row>
    <row r="300" spans="4:21" s="37" customFormat="1" ht="15.75" customHeight="1" x14ac:dyDescent="0.35">
      <c r="D300" s="40"/>
      <c r="E300" s="34"/>
      <c r="F300" s="34"/>
      <c r="G300" s="34"/>
      <c r="H300" s="34"/>
      <c r="I300" s="34"/>
      <c r="J300" s="39"/>
      <c r="K300" s="34"/>
      <c r="L300" s="34"/>
      <c r="M300" s="34"/>
      <c r="N300" s="34"/>
      <c r="O300" s="34"/>
      <c r="P300" s="39"/>
      <c r="R300" s="40"/>
      <c r="S300" s="40"/>
      <c r="T300" s="40"/>
      <c r="U300" s="40"/>
    </row>
    <row r="301" spans="4:21" s="37" customFormat="1" ht="15.75" customHeight="1" x14ac:dyDescent="0.35">
      <c r="D301" s="40"/>
      <c r="E301" s="34"/>
      <c r="F301" s="34"/>
      <c r="G301" s="34"/>
      <c r="H301" s="34"/>
      <c r="I301" s="34"/>
      <c r="J301" s="39"/>
      <c r="K301" s="34"/>
      <c r="L301" s="34"/>
      <c r="M301" s="34"/>
      <c r="N301" s="34"/>
      <c r="O301" s="34"/>
      <c r="P301" s="39"/>
      <c r="R301" s="40"/>
      <c r="S301" s="40"/>
      <c r="T301" s="40"/>
      <c r="U301" s="40"/>
    </row>
    <row r="302" spans="4:21" s="37" customFormat="1" ht="15.75" customHeight="1" x14ac:dyDescent="0.35">
      <c r="D302" s="40"/>
      <c r="E302" s="34"/>
      <c r="F302" s="34"/>
      <c r="G302" s="34"/>
      <c r="H302" s="34"/>
      <c r="I302" s="34"/>
      <c r="J302" s="39"/>
      <c r="K302" s="34"/>
      <c r="L302" s="34"/>
      <c r="M302" s="34"/>
      <c r="N302" s="34"/>
      <c r="O302" s="34"/>
      <c r="P302" s="39"/>
      <c r="R302" s="40"/>
      <c r="S302" s="40"/>
      <c r="T302" s="40"/>
      <c r="U302" s="40"/>
    </row>
    <row r="303" spans="4:21" s="37" customFormat="1" ht="15.75" customHeight="1" x14ac:dyDescent="0.35">
      <c r="D303" s="40"/>
      <c r="E303" s="34"/>
      <c r="F303" s="34"/>
      <c r="G303" s="34"/>
      <c r="H303" s="34"/>
      <c r="I303" s="34"/>
      <c r="J303" s="39"/>
      <c r="K303" s="34"/>
      <c r="L303" s="34"/>
      <c r="M303" s="34"/>
      <c r="N303" s="34"/>
      <c r="O303" s="34"/>
      <c r="P303" s="39"/>
      <c r="R303" s="40"/>
      <c r="S303" s="40"/>
      <c r="T303" s="40"/>
      <c r="U303" s="40"/>
    </row>
    <row r="304" spans="4:21" s="37" customFormat="1" ht="15.75" customHeight="1" x14ac:dyDescent="0.35">
      <c r="D304" s="40"/>
      <c r="E304" s="34"/>
      <c r="F304" s="34"/>
      <c r="G304" s="34"/>
      <c r="H304" s="34"/>
      <c r="I304" s="34"/>
      <c r="J304" s="39"/>
      <c r="K304" s="34"/>
      <c r="L304" s="34"/>
      <c r="M304" s="34"/>
      <c r="N304" s="34"/>
      <c r="O304" s="34"/>
      <c r="P304" s="39"/>
      <c r="R304" s="40"/>
      <c r="S304" s="40"/>
      <c r="T304" s="40"/>
      <c r="U304" s="40"/>
    </row>
    <row r="305" spans="4:21" s="37" customFormat="1" ht="15.75" customHeight="1" x14ac:dyDescent="0.35">
      <c r="D305" s="40"/>
      <c r="E305" s="34"/>
      <c r="F305" s="34"/>
      <c r="G305" s="34"/>
      <c r="H305" s="34"/>
      <c r="I305" s="34"/>
      <c r="J305" s="39"/>
      <c r="K305" s="34"/>
      <c r="L305" s="34"/>
      <c r="M305" s="34"/>
      <c r="N305" s="34"/>
      <c r="O305" s="34"/>
      <c r="P305" s="39"/>
      <c r="R305" s="40"/>
      <c r="S305" s="40"/>
      <c r="T305" s="40"/>
      <c r="U305" s="40"/>
    </row>
    <row r="306" spans="4:21" s="37" customFormat="1" ht="15.75" customHeight="1" x14ac:dyDescent="0.35">
      <c r="D306" s="40"/>
      <c r="E306" s="34"/>
      <c r="F306" s="34"/>
      <c r="G306" s="34"/>
      <c r="H306" s="34"/>
      <c r="I306" s="34"/>
      <c r="J306" s="39"/>
      <c r="K306" s="34"/>
      <c r="L306" s="34"/>
      <c r="M306" s="34"/>
      <c r="N306" s="34"/>
      <c r="O306" s="34"/>
      <c r="P306" s="39"/>
      <c r="R306" s="40"/>
      <c r="S306" s="40"/>
      <c r="T306" s="40"/>
      <c r="U306" s="40"/>
    </row>
    <row r="307" spans="4:21" s="37" customFormat="1" ht="15.75" customHeight="1" x14ac:dyDescent="0.35">
      <c r="D307" s="40"/>
      <c r="E307" s="34"/>
      <c r="F307" s="34"/>
      <c r="G307" s="34"/>
      <c r="H307" s="34"/>
      <c r="I307" s="34"/>
      <c r="J307" s="39"/>
      <c r="K307" s="34"/>
      <c r="L307" s="34"/>
      <c r="M307" s="34"/>
      <c r="N307" s="34"/>
      <c r="O307" s="34"/>
      <c r="P307" s="39"/>
      <c r="R307" s="40"/>
      <c r="S307" s="40"/>
      <c r="T307" s="40"/>
      <c r="U307" s="40"/>
    </row>
    <row r="308" spans="4:21" s="37" customFormat="1" ht="15.75" customHeight="1" x14ac:dyDescent="0.35">
      <c r="D308" s="40"/>
      <c r="E308" s="34"/>
      <c r="F308" s="34"/>
      <c r="G308" s="34"/>
      <c r="H308" s="34"/>
      <c r="I308" s="34"/>
      <c r="J308" s="39"/>
      <c r="K308" s="34"/>
      <c r="L308" s="34"/>
      <c r="M308" s="34"/>
      <c r="N308" s="34"/>
      <c r="O308" s="34"/>
      <c r="P308" s="39"/>
      <c r="R308" s="40"/>
      <c r="S308" s="40"/>
      <c r="T308" s="40"/>
      <c r="U308" s="40"/>
    </row>
    <row r="309" spans="4:21" s="37" customFormat="1" ht="15.75" customHeight="1" x14ac:dyDescent="0.35">
      <c r="D309" s="40"/>
      <c r="E309" s="34"/>
      <c r="F309" s="34"/>
      <c r="G309" s="34"/>
      <c r="H309" s="34"/>
      <c r="I309" s="34"/>
      <c r="J309" s="39"/>
      <c r="K309" s="34"/>
      <c r="L309" s="34"/>
      <c r="M309" s="34"/>
      <c r="N309" s="34"/>
      <c r="O309" s="34"/>
      <c r="P309" s="39"/>
      <c r="R309" s="40"/>
      <c r="S309" s="40"/>
      <c r="T309" s="40"/>
      <c r="U309" s="40"/>
    </row>
    <row r="310" spans="4:21" s="37" customFormat="1" ht="15.75" customHeight="1" x14ac:dyDescent="0.35">
      <c r="D310" s="40"/>
      <c r="E310" s="34"/>
      <c r="F310" s="34"/>
      <c r="G310" s="34"/>
      <c r="H310" s="34"/>
      <c r="I310" s="34"/>
      <c r="J310" s="39"/>
      <c r="K310" s="34"/>
      <c r="L310" s="34"/>
      <c r="M310" s="34"/>
      <c r="N310" s="34"/>
      <c r="O310" s="34"/>
      <c r="P310" s="39"/>
      <c r="R310" s="40"/>
      <c r="S310" s="40"/>
      <c r="T310" s="40"/>
      <c r="U310" s="40"/>
    </row>
    <row r="311" spans="4:21" s="37" customFormat="1" ht="15.75" customHeight="1" x14ac:dyDescent="0.35">
      <c r="D311" s="40"/>
      <c r="E311" s="34"/>
      <c r="F311" s="34"/>
      <c r="G311" s="34"/>
      <c r="H311" s="34"/>
      <c r="I311" s="34"/>
      <c r="J311" s="39"/>
      <c r="K311" s="34"/>
      <c r="L311" s="34"/>
      <c r="M311" s="34"/>
      <c r="N311" s="34"/>
      <c r="O311" s="34"/>
      <c r="P311" s="39"/>
      <c r="R311" s="40"/>
      <c r="S311" s="40"/>
      <c r="T311" s="40"/>
      <c r="U311" s="40"/>
    </row>
    <row r="312" spans="4:21" s="37" customFormat="1" ht="15.75" customHeight="1" x14ac:dyDescent="0.35">
      <c r="D312" s="40"/>
      <c r="E312" s="34"/>
      <c r="F312" s="34"/>
      <c r="G312" s="34"/>
      <c r="H312" s="34"/>
      <c r="I312" s="34"/>
      <c r="J312" s="39"/>
      <c r="K312" s="34"/>
      <c r="L312" s="34"/>
      <c r="M312" s="34"/>
      <c r="N312" s="34"/>
      <c r="O312" s="34"/>
      <c r="P312" s="39"/>
      <c r="R312" s="40"/>
      <c r="S312" s="40"/>
      <c r="T312" s="40"/>
      <c r="U312" s="40"/>
    </row>
    <row r="313" spans="4:21" s="37" customFormat="1" ht="15.75" customHeight="1" x14ac:dyDescent="0.35">
      <c r="D313" s="40"/>
      <c r="E313" s="34"/>
      <c r="F313" s="34"/>
      <c r="G313" s="34"/>
      <c r="H313" s="34"/>
      <c r="I313" s="34"/>
      <c r="J313" s="39"/>
      <c r="K313" s="34"/>
      <c r="L313" s="34"/>
      <c r="M313" s="34"/>
      <c r="N313" s="34"/>
      <c r="O313" s="34"/>
      <c r="P313" s="39"/>
      <c r="R313" s="40"/>
      <c r="S313" s="40"/>
      <c r="T313" s="40"/>
      <c r="U313" s="40"/>
    </row>
    <row r="314" spans="4:21" s="37" customFormat="1" ht="15.75" customHeight="1" x14ac:dyDescent="0.35">
      <c r="D314" s="40"/>
      <c r="E314" s="34"/>
      <c r="F314" s="34"/>
      <c r="G314" s="34"/>
      <c r="H314" s="34"/>
      <c r="I314" s="34"/>
      <c r="J314" s="39"/>
      <c r="K314" s="34"/>
      <c r="L314" s="34"/>
      <c r="M314" s="34"/>
      <c r="N314" s="34"/>
      <c r="O314" s="34"/>
      <c r="P314" s="39"/>
      <c r="R314" s="40"/>
      <c r="S314" s="40"/>
      <c r="T314" s="40"/>
      <c r="U314" s="40"/>
    </row>
    <row r="315" spans="4:21" s="37" customFormat="1" ht="15.75" customHeight="1" x14ac:dyDescent="0.35">
      <c r="D315" s="40"/>
      <c r="E315" s="34"/>
      <c r="F315" s="34"/>
      <c r="G315" s="34"/>
      <c r="H315" s="34"/>
      <c r="I315" s="34"/>
      <c r="J315" s="39"/>
      <c r="K315" s="34"/>
      <c r="L315" s="34"/>
      <c r="M315" s="34"/>
      <c r="N315" s="34"/>
      <c r="O315" s="34"/>
      <c r="P315" s="39"/>
      <c r="R315" s="40"/>
      <c r="S315" s="40"/>
      <c r="T315" s="40"/>
      <c r="U315" s="40"/>
    </row>
    <row r="316" spans="4:21" s="37" customFormat="1" ht="15.75" customHeight="1" x14ac:dyDescent="0.35">
      <c r="D316" s="40"/>
      <c r="E316" s="34"/>
      <c r="F316" s="34"/>
      <c r="G316" s="34"/>
      <c r="H316" s="34"/>
      <c r="I316" s="34"/>
      <c r="J316" s="39"/>
      <c r="K316" s="34"/>
      <c r="L316" s="34"/>
      <c r="M316" s="34"/>
      <c r="N316" s="34"/>
      <c r="O316" s="34"/>
      <c r="P316" s="39"/>
      <c r="R316" s="40"/>
      <c r="S316" s="40"/>
      <c r="T316" s="40"/>
      <c r="U316" s="40"/>
    </row>
    <row r="317" spans="4:21" s="37" customFormat="1" ht="15.75" customHeight="1" x14ac:dyDescent="0.35">
      <c r="D317" s="40"/>
      <c r="E317" s="34"/>
      <c r="F317" s="34"/>
      <c r="G317" s="34"/>
      <c r="H317" s="34"/>
      <c r="I317" s="34"/>
      <c r="J317" s="39"/>
      <c r="K317" s="34"/>
      <c r="L317" s="34"/>
      <c r="M317" s="34"/>
      <c r="N317" s="34"/>
      <c r="O317" s="34"/>
      <c r="P317" s="39"/>
      <c r="R317" s="40"/>
      <c r="S317" s="40"/>
      <c r="T317" s="40"/>
      <c r="U317" s="40"/>
    </row>
    <row r="318" spans="4:21" s="37" customFormat="1" ht="15.75" customHeight="1" x14ac:dyDescent="0.35">
      <c r="D318" s="40"/>
      <c r="E318" s="34"/>
      <c r="F318" s="34"/>
      <c r="G318" s="34"/>
      <c r="H318" s="34"/>
      <c r="I318" s="34"/>
      <c r="J318" s="39"/>
      <c r="K318" s="34"/>
      <c r="L318" s="34"/>
      <c r="M318" s="34"/>
      <c r="N318" s="34"/>
      <c r="O318" s="34"/>
      <c r="P318" s="39"/>
      <c r="R318" s="40"/>
      <c r="S318" s="40"/>
      <c r="T318" s="40"/>
      <c r="U318" s="40"/>
    </row>
    <row r="319" spans="4:21" s="37" customFormat="1" ht="15.75" customHeight="1" x14ac:dyDescent="0.35">
      <c r="D319" s="40"/>
      <c r="E319" s="34"/>
      <c r="F319" s="34"/>
      <c r="G319" s="34"/>
      <c r="H319" s="34"/>
      <c r="I319" s="34"/>
      <c r="J319" s="39"/>
      <c r="K319" s="34"/>
      <c r="L319" s="34"/>
      <c r="M319" s="34"/>
      <c r="N319" s="34"/>
      <c r="O319" s="34"/>
      <c r="P319" s="39"/>
      <c r="R319" s="40"/>
      <c r="S319" s="40"/>
      <c r="T319" s="40"/>
      <c r="U319" s="40"/>
    </row>
    <row r="320" spans="4:21" s="37" customFormat="1" ht="15.75" customHeight="1" x14ac:dyDescent="0.35">
      <c r="D320" s="40"/>
      <c r="E320" s="34"/>
      <c r="F320" s="34"/>
      <c r="G320" s="34"/>
      <c r="H320" s="34"/>
      <c r="I320" s="34"/>
      <c r="J320" s="39"/>
      <c r="K320" s="34"/>
      <c r="L320" s="34"/>
      <c r="M320" s="34"/>
      <c r="N320" s="34"/>
      <c r="O320" s="34"/>
      <c r="P320" s="39"/>
      <c r="R320" s="40"/>
      <c r="S320" s="40"/>
      <c r="T320" s="40"/>
      <c r="U320" s="40"/>
    </row>
    <row r="321" spans="4:21" s="37" customFormat="1" ht="15.75" customHeight="1" x14ac:dyDescent="0.35">
      <c r="D321" s="40"/>
      <c r="E321" s="34"/>
      <c r="F321" s="34"/>
      <c r="G321" s="34"/>
      <c r="H321" s="34"/>
      <c r="I321" s="34"/>
      <c r="J321" s="39"/>
      <c r="K321" s="34"/>
      <c r="L321" s="34"/>
      <c r="M321" s="34"/>
      <c r="N321" s="34"/>
      <c r="O321" s="34"/>
      <c r="P321" s="39"/>
      <c r="R321" s="40"/>
      <c r="S321" s="40"/>
      <c r="T321" s="40"/>
      <c r="U321" s="40"/>
    </row>
    <row r="322" spans="4:21" s="37" customFormat="1" ht="15.75" customHeight="1" x14ac:dyDescent="0.35">
      <c r="D322" s="40"/>
      <c r="E322" s="34"/>
      <c r="F322" s="34"/>
      <c r="G322" s="34"/>
      <c r="H322" s="34"/>
      <c r="I322" s="34"/>
      <c r="J322" s="39"/>
      <c r="K322" s="34"/>
      <c r="L322" s="34"/>
      <c r="M322" s="34"/>
      <c r="N322" s="34"/>
      <c r="O322" s="34"/>
      <c r="P322" s="39"/>
      <c r="R322" s="40"/>
      <c r="S322" s="40"/>
      <c r="T322" s="40"/>
      <c r="U322" s="40"/>
    </row>
    <row r="323" spans="4:21" s="37" customFormat="1" ht="15.75" customHeight="1" x14ac:dyDescent="0.35">
      <c r="D323" s="40"/>
      <c r="E323" s="34"/>
      <c r="F323" s="34"/>
      <c r="G323" s="34"/>
      <c r="H323" s="34"/>
      <c r="I323" s="34"/>
      <c r="J323" s="39"/>
      <c r="K323" s="34"/>
      <c r="L323" s="34"/>
      <c r="M323" s="34"/>
      <c r="N323" s="34"/>
      <c r="O323" s="34"/>
      <c r="P323" s="39"/>
      <c r="R323" s="40"/>
      <c r="S323" s="40"/>
      <c r="T323" s="40"/>
      <c r="U323" s="40"/>
    </row>
    <row r="324" spans="4:21" s="37" customFormat="1" ht="15.75" customHeight="1" x14ac:dyDescent="0.35">
      <c r="D324" s="40"/>
      <c r="E324" s="34"/>
      <c r="F324" s="34"/>
      <c r="G324" s="34"/>
      <c r="H324" s="34"/>
      <c r="I324" s="34"/>
      <c r="J324" s="39"/>
      <c r="K324" s="34"/>
      <c r="L324" s="34"/>
      <c r="M324" s="34"/>
      <c r="N324" s="34"/>
      <c r="O324" s="34"/>
      <c r="P324" s="39"/>
      <c r="R324" s="40"/>
      <c r="S324" s="40"/>
      <c r="T324" s="40"/>
      <c r="U324" s="40"/>
    </row>
    <row r="325" spans="4:21" s="37" customFormat="1" ht="15.75" customHeight="1" x14ac:dyDescent="0.35">
      <c r="D325" s="40"/>
      <c r="E325" s="34"/>
      <c r="F325" s="34"/>
      <c r="G325" s="34"/>
      <c r="H325" s="34"/>
      <c r="I325" s="34"/>
      <c r="J325" s="39"/>
      <c r="K325" s="34"/>
      <c r="L325" s="34"/>
      <c r="M325" s="34"/>
      <c r="N325" s="34"/>
      <c r="O325" s="34"/>
      <c r="P325" s="39"/>
      <c r="R325" s="40"/>
      <c r="S325" s="40"/>
      <c r="T325" s="40"/>
      <c r="U325" s="40"/>
    </row>
    <row r="326" spans="4:21" s="37" customFormat="1" ht="15.75" customHeight="1" x14ac:dyDescent="0.35">
      <c r="D326" s="40"/>
      <c r="E326" s="34"/>
      <c r="F326" s="34"/>
      <c r="G326" s="34"/>
      <c r="H326" s="34"/>
      <c r="I326" s="34"/>
      <c r="J326" s="39"/>
      <c r="K326" s="34"/>
      <c r="L326" s="34"/>
      <c r="M326" s="34"/>
      <c r="N326" s="34"/>
      <c r="O326" s="34"/>
      <c r="P326" s="39"/>
      <c r="R326" s="40"/>
      <c r="S326" s="40"/>
      <c r="T326" s="40"/>
      <c r="U326" s="40"/>
    </row>
    <row r="327" spans="4:21" s="37" customFormat="1" ht="15.75" customHeight="1" x14ac:dyDescent="0.35">
      <c r="D327" s="40"/>
      <c r="E327" s="34"/>
      <c r="F327" s="34"/>
      <c r="G327" s="34"/>
      <c r="H327" s="34"/>
      <c r="I327" s="34"/>
      <c r="J327" s="39"/>
      <c r="K327" s="34"/>
      <c r="L327" s="34"/>
      <c r="M327" s="34"/>
      <c r="N327" s="34"/>
      <c r="O327" s="34"/>
      <c r="P327" s="39"/>
      <c r="R327" s="40"/>
      <c r="S327" s="40"/>
      <c r="T327" s="40"/>
      <c r="U327" s="40"/>
    </row>
    <row r="328" spans="4:21" s="37" customFormat="1" ht="15.75" customHeight="1" x14ac:dyDescent="0.35">
      <c r="D328" s="40"/>
      <c r="E328" s="34"/>
      <c r="F328" s="34"/>
      <c r="G328" s="34"/>
      <c r="H328" s="34"/>
      <c r="I328" s="34"/>
      <c r="J328" s="39"/>
      <c r="K328" s="34"/>
      <c r="L328" s="34"/>
      <c r="M328" s="34"/>
      <c r="N328" s="34"/>
      <c r="O328" s="34"/>
      <c r="P328" s="39"/>
      <c r="R328" s="40"/>
      <c r="S328" s="40"/>
      <c r="T328" s="40"/>
      <c r="U328" s="40"/>
    </row>
    <row r="329" spans="4:21" s="37" customFormat="1" ht="15.75" customHeight="1" x14ac:dyDescent="0.35">
      <c r="D329" s="40"/>
      <c r="E329" s="34"/>
      <c r="F329" s="34"/>
      <c r="G329" s="34"/>
      <c r="H329" s="34"/>
      <c r="I329" s="34"/>
      <c r="J329" s="39"/>
      <c r="K329" s="34"/>
      <c r="L329" s="34"/>
      <c r="M329" s="34"/>
      <c r="N329" s="34"/>
      <c r="O329" s="34"/>
      <c r="P329" s="39"/>
      <c r="R329" s="40"/>
      <c r="S329" s="40"/>
      <c r="T329" s="40"/>
      <c r="U329" s="40"/>
    </row>
    <row r="330" spans="4:21" s="37" customFormat="1" ht="15.75" customHeight="1" x14ac:dyDescent="0.35">
      <c r="D330" s="40"/>
      <c r="E330" s="34"/>
      <c r="F330" s="34"/>
      <c r="G330" s="34"/>
      <c r="H330" s="34"/>
      <c r="I330" s="34"/>
      <c r="J330" s="39"/>
      <c r="K330" s="34"/>
      <c r="L330" s="34"/>
      <c r="M330" s="34"/>
      <c r="N330" s="34"/>
      <c r="O330" s="34"/>
      <c r="P330" s="39"/>
      <c r="R330" s="40"/>
      <c r="S330" s="40"/>
      <c r="T330" s="40"/>
      <c r="U330" s="40"/>
    </row>
    <row r="331" spans="4:21" s="37" customFormat="1" ht="15.75" customHeight="1" x14ac:dyDescent="0.35">
      <c r="D331" s="40"/>
      <c r="E331" s="34"/>
      <c r="F331" s="34"/>
      <c r="G331" s="34"/>
      <c r="H331" s="34"/>
      <c r="I331" s="34"/>
      <c r="J331" s="39"/>
      <c r="K331" s="34"/>
      <c r="L331" s="34"/>
      <c r="M331" s="34"/>
      <c r="N331" s="34"/>
      <c r="O331" s="34"/>
      <c r="P331" s="39"/>
      <c r="R331" s="40"/>
      <c r="S331" s="40"/>
      <c r="T331" s="40"/>
      <c r="U331" s="40"/>
    </row>
    <row r="332" spans="4:21" s="37" customFormat="1" ht="15.75" customHeight="1" x14ac:dyDescent="0.35">
      <c r="D332" s="40"/>
      <c r="E332" s="34"/>
      <c r="F332" s="34"/>
      <c r="G332" s="34"/>
      <c r="H332" s="34"/>
      <c r="I332" s="34"/>
      <c r="J332" s="39"/>
      <c r="K332" s="34"/>
      <c r="L332" s="34"/>
      <c r="M332" s="34"/>
      <c r="N332" s="34"/>
      <c r="O332" s="34"/>
      <c r="P332" s="39"/>
      <c r="R332" s="40"/>
      <c r="S332" s="40"/>
      <c r="T332" s="40"/>
      <c r="U332" s="40"/>
    </row>
    <row r="333" spans="4:21" s="37" customFormat="1" ht="15.75" customHeight="1" x14ac:dyDescent="0.35">
      <c r="D333" s="40"/>
      <c r="E333" s="34"/>
      <c r="F333" s="34"/>
      <c r="G333" s="34"/>
      <c r="H333" s="34"/>
      <c r="I333" s="34"/>
      <c r="J333" s="39"/>
      <c r="K333" s="34"/>
      <c r="L333" s="34"/>
      <c r="M333" s="34"/>
      <c r="N333" s="34"/>
      <c r="O333" s="34"/>
      <c r="P333" s="39"/>
      <c r="R333" s="40"/>
      <c r="S333" s="40"/>
      <c r="T333" s="40"/>
      <c r="U333" s="40"/>
    </row>
    <row r="334" spans="4:21" s="37" customFormat="1" ht="15.75" customHeight="1" x14ac:dyDescent="0.35">
      <c r="D334" s="40"/>
      <c r="E334" s="34"/>
      <c r="F334" s="34"/>
      <c r="G334" s="34"/>
      <c r="H334" s="34"/>
      <c r="I334" s="34"/>
      <c r="J334" s="39"/>
      <c r="K334" s="34"/>
      <c r="L334" s="34"/>
      <c r="M334" s="34"/>
      <c r="N334" s="34"/>
      <c r="O334" s="34"/>
      <c r="P334" s="39"/>
      <c r="R334" s="40"/>
      <c r="S334" s="40"/>
      <c r="T334" s="40"/>
      <c r="U334" s="40"/>
    </row>
    <row r="335" spans="4:21" s="37" customFormat="1" ht="15.75" customHeight="1" x14ac:dyDescent="0.35">
      <c r="D335" s="40"/>
      <c r="E335" s="34"/>
      <c r="F335" s="34"/>
      <c r="G335" s="34"/>
      <c r="H335" s="34"/>
      <c r="I335" s="34"/>
      <c r="J335" s="39"/>
      <c r="K335" s="34"/>
      <c r="L335" s="34"/>
      <c r="M335" s="34"/>
      <c r="N335" s="34"/>
      <c r="O335" s="34"/>
      <c r="P335" s="39"/>
      <c r="R335" s="40"/>
      <c r="S335" s="40"/>
      <c r="T335" s="40"/>
      <c r="U335" s="40"/>
    </row>
    <row r="336" spans="4:21" s="37" customFormat="1" ht="15.75" customHeight="1" x14ac:dyDescent="0.35">
      <c r="D336" s="40"/>
      <c r="E336" s="34"/>
      <c r="F336" s="34"/>
      <c r="G336" s="34"/>
      <c r="H336" s="34"/>
      <c r="I336" s="34"/>
      <c r="J336" s="39"/>
      <c r="K336" s="34"/>
      <c r="L336" s="34"/>
      <c r="M336" s="34"/>
      <c r="N336" s="34"/>
      <c r="O336" s="34"/>
      <c r="P336" s="39"/>
      <c r="R336" s="40"/>
      <c r="S336" s="40"/>
      <c r="T336" s="40"/>
      <c r="U336" s="40"/>
    </row>
    <row r="337" spans="4:21" s="37" customFormat="1" ht="15.75" customHeight="1" x14ac:dyDescent="0.35">
      <c r="D337" s="40"/>
      <c r="E337" s="34"/>
      <c r="F337" s="34"/>
      <c r="G337" s="34"/>
      <c r="H337" s="34"/>
      <c r="I337" s="34"/>
      <c r="J337" s="39"/>
      <c r="K337" s="34"/>
      <c r="L337" s="34"/>
      <c r="M337" s="34"/>
      <c r="N337" s="34"/>
      <c r="O337" s="34"/>
      <c r="P337" s="39"/>
      <c r="R337" s="40"/>
      <c r="S337" s="40"/>
      <c r="T337" s="40"/>
      <c r="U337" s="40"/>
    </row>
    <row r="338" spans="4:21" s="37" customFormat="1" ht="15.75" customHeight="1" x14ac:dyDescent="0.35">
      <c r="D338" s="40"/>
      <c r="E338" s="34"/>
      <c r="F338" s="34"/>
      <c r="G338" s="34"/>
      <c r="H338" s="34"/>
      <c r="I338" s="34"/>
      <c r="J338" s="39"/>
      <c r="K338" s="34"/>
      <c r="L338" s="34"/>
      <c r="M338" s="34"/>
      <c r="N338" s="34"/>
      <c r="O338" s="34"/>
      <c r="P338" s="39"/>
      <c r="R338" s="40"/>
      <c r="S338" s="40"/>
      <c r="T338" s="40"/>
      <c r="U338" s="40"/>
    </row>
    <row r="339" spans="4:21" s="37" customFormat="1" ht="15.75" customHeight="1" x14ac:dyDescent="0.35">
      <c r="D339" s="40"/>
      <c r="E339" s="34"/>
      <c r="F339" s="34"/>
      <c r="G339" s="34"/>
      <c r="H339" s="34"/>
      <c r="I339" s="34"/>
      <c r="J339" s="39"/>
      <c r="K339" s="34"/>
      <c r="L339" s="34"/>
      <c r="M339" s="34"/>
      <c r="N339" s="34"/>
      <c r="O339" s="34"/>
      <c r="P339" s="39"/>
      <c r="R339" s="40"/>
      <c r="S339" s="40"/>
      <c r="T339" s="40"/>
      <c r="U339" s="40"/>
    </row>
    <row r="340" spans="4:21" s="37" customFormat="1" ht="15.75" customHeight="1" x14ac:dyDescent="0.35">
      <c r="D340" s="40"/>
      <c r="E340" s="34"/>
      <c r="F340" s="34"/>
      <c r="G340" s="34"/>
      <c r="H340" s="34"/>
      <c r="I340" s="34"/>
      <c r="J340" s="39"/>
      <c r="K340" s="34"/>
      <c r="L340" s="34"/>
      <c r="M340" s="34"/>
      <c r="N340" s="34"/>
      <c r="O340" s="34"/>
      <c r="P340" s="39"/>
      <c r="R340" s="40"/>
      <c r="S340" s="40"/>
      <c r="T340" s="40"/>
      <c r="U340" s="40"/>
    </row>
    <row r="341" spans="4:21" s="37" customFormat="1" ht="15.75" customHeight="1" x14ac:dyDescent="0.35">
      <c r="D341" s="40"/>
      <c r="E341" s="34"/>
      <c r="F341" s="34"/>
      <c r="G341" s="34"/>
      <c r="H341" s="34"/>
      <c r="I341" s="34"/>
      <c r="J341" s="39"/>
      <c r="K341" s="34"/>
      <c r="L341" s="34"/>
      <c r="M341" s="34"/>
      <c r="N341" s="34"/>
      <c r="O341" s="34"/>
      <c r="P341" s="39"/>
      <c r="R341" s="40"/>
      <c r="S341" s="40"/>
      <c r="T341" s="40"/>
      <c r="U341" s="40"/>
    </row>
    <row r="342" spans="4:21" s="37" customFormat="1" ht="15.75" customHeight="1" x14ac:dyDescent="0.35">
      <c r="D342" s="40"/>
      <c r="E342" s="34"/>
      <c r="F342" s="34"/>
      <c r="G342" s="34"/>
      <c r="H342" s="34"/>
      <c r="I342" s="34"/>
      <c r="J342" s="39"/>
      <c r="K342" s="34"/>
      <c r="L342" s="34"/>
      <c r="M342" s="34"/>
      <c r="N342" s="34"/>
      <c r="O342" s="34"/>
      <c r="P342" s="39"/>
      <c r="R342" s="40"/>
      <c r="S342" s="40"/>
      <c r="T342" s="40"/>
      <c r="U342" s="40"/>
    </row>
    <row r="343" spans="4:21" s="37" customFormat="1" ht="15.75" customHeight="1" x14ac:dyDescent="0.35">
      <c r="D343" s="40"/>
      <c r="E343" s="34"/>
      <c r="F343" s="34"/>
      <c r="G343" s="34"/>
      <c r="H343" s="34"/>
      <c r="I343" s="34"/>
      <c r="J343" s="39"/>
      <c r="K343" s="34"/>
      <c r="L343" s="34"/>
      <c r="M343" s="34"/>
      <c r="N343" s="34"/>
      <c r="O343" s="34"/>
      <c r="P343" s="39"/>
      <c r="R343" s="40"/>
      <c r="S343" s="40"/>
      <c r="T343" s="40"/>
      <c r="U343" s="40"/>
    </row>
    <row r="344" spans="4:21" s="37" customFormat="1" ht="15.75" customHeight="1" x14ac:dyDescent="0.35">
      <c r="D344" s="40"/>
      <c r="E344" s="34"/>
      <c r="F344" s="34"/>
      <c r="G344" s="34"/>
      <c r="H344" s="34"/>
      <c r="I344" s="34"/>
      <c r="J344" s="39"/>
      <c r="K344" s="34"/>
      <c r="L344" s="34"/>
      <c r="M344" s="34"/>
      <c r="N344" s="34"/>
      <c r="O344" s="34"/>
      <c r="P344" s="39"/>
      <c r="R344" s="40"/>
      <c r="S344" s="40"/>
      <c r="T344" s="40"/>
      <c r="U344" s="40"/>
    </row>
    <row r="345" spans="4:21" s="37" customFormat="1" ht="15.75" customHeight="1" x14ac:dyDescent="0.35">
      <c r="D345" s="40"/>
      <c r="E345" s="34"/>
      <c r="F345" s="34"/>
      <c r="G345" s="34"/>
      <c r="H345" s="34"/>
      <c r="I345" s="34"/>
      <c r="J345" s="39"/>
      <c r="K345" s="34"/>
      <c r="L345" s="34"/>
      <c r="M345" s="34"/>
      <c r="N345" s="34"/>
      <c r="O345" s="34"/>
      <c r="P345" s="39"/>
      <c r="R345" s="40"/>
      <c r="S345" s="40"/>
      <c r="T345" s="40"/>
      <c r="U345" s="40"/>
    </row>
    <row r="346" spans="4:21" s="37" customFormat="1" ht="15.75" customHeight="1" x14ac:dyDescent="0.35">
      <c r="D346" s="40"/>
      <c r="E346" s="34"/>
      <c r="F346" s="34"/>
      <c r="G346" s="34"/>
      <c r="H346" s="34"/>
      <c r="I346" s="34"/>
      <c r="J346" s="39"/>
      <c r="K346" s="34"/>
      <c r="L346" s="34"/>
      <c r="M346" s="34"/>
      <c r="N346" s="34"/>
      <c r="O346" s="34"/>
      <c r="P346" s="39"/>
      <c r="R346" s="40"/>
      <c r="S346" s="40"/>
      <c r="T346" s="40"/>
      <c r="U346" s="40"/>
    </row>
    <row r="347" spans="4:21" s="37" customFormat="1" ht="15.75" customHeight="1" x14ac:dyDescent="0.35">
      <c r="D347" s="40"/>
      <c r="E347" s="34"/>
      <c r="F347" s="34"/>
      <c r="G347" s="34"/>
      <c r="H347" s="34"/>
      <c r="I347" s="34"/>
      <c r="J347" s="39"/>
      <c r="K347" s="34"/>
      <c r="L347" s="34"/>
      <c r="M347" s="34"/>
      <c r="N347" s="34"/>
      <c r="O347" s="34"/>
      <c r="P347" s="39"/>
      <c r="R347" s="40"/>
      <c r="S347" s="40"/>
      <c r="T347" s="40"/>
      <c r="U347" s="40"/>
    </row>
    <row r="348" spans="4:21" s="37" customFormat="1" ht="15.75" customHeight="1" x14ac:dyDescent="0.35">
      <c r="D348" s="40"/>
      <c r="E348" s="34"/>
      <c r="F348" s="34"/>
      <c r="G348" s="34"/>
      <c r="H348" s="34"/>
      <c r="I348" s="34"/>
      <c r="J348" s="39"/>
      <c r="K348" s="34"/>
      <c r="L348" s="34"/>
      <c r="M348" s="34"/>
      <c r="N348" s="34"/>
      <c r="O348" s="34"/>
      <c r="P348" s="39"/>
      <c r="R348" s="40"/>
      <c r="S348" s="40"/>
      <c r="T348" s="40"/>
      <c r="U348" s="40"/>
    </row>
    <row r="349" spans="4:21" s="37" customFormat="1" ht="15.75" customHeight="1" x14ac:dyDescent="0.35">
      <c r="D349" s="40"/>
      <c r="E349" s="34"/>
      <c r="F349" s="34"/>
      <c r="G349" s="34"/>
      <c r="H349" s="34"/>
      <c r="I349" s="34"/>
      <c r="J349" s="39"/>
      <c r="K349" s="34"/>
      <c r="L349" s="34"/>
      <c r="M349" s="34"/>
      <c r="N349" s="34"/>
      <c r="O349" s="34"/>
      <c r="P349" s="39"/>
      <c r="R349" s="40"/>
      <c r="S349" s="40"/>
      <c r="T349" s="40"/>
      <c r="U349" s="40"/>
    </row>
    <row r="350" spans="4:21" s="37" customFormat="1" ht="15.75" customHeight="1" x14ac:dyDescent="0.35">
      <c r="D350" s="40"/>
      <c r="E350" s="34"/>
      <c r="F350" s="34"/>
      <c r="G350" s="34"/>
      <c r="H350" s="34"/>
      <c r="I350" s="34"/>
      <c r="J350" s="39"/>
      <c r="K350" s="34"/>
      <c r="L350" s="34"/>
      <c r="M350" s="34"/>
      <c r="N350" s="34"/>
      <c r="O350" s="34"/>
      <c r="P350" s="39"/>
      <c r="R350" s="40"/>
      <c r="S350" s="40"/>
      <c r="T350" s="40"/>
      <c r="U350" s="40"/>
    </row>
    <row r="351" spans="4:21" s="37" customFormat="1" ht="15.75" customHeight="1" x14ac:dyDescent="0.35">
      <c r="D351" s="40"/>
      <c r="E351" s="34"/>
      <c r="F351" s="34"/>
      <c r="G351" s="34"/>
      <c r="H351" s="34"/>
      <c r="I351" s="34"/>
      <c r="J351" s="39"/>
      <c r="K351" s="34"/>
      <c r="L351" s="34"/>
      <c r="M351" s="34"/>
      <c r="N351" s="34"/>
      <c r="O351" s="34"/>
      <c r="P351" s="39"/>
      <c r="R351" s="40"/>
      <c r="S351" s="40"/>
      <c r="T351" s="40"/>
      <c r="U351" s="40"/>
    </row>
    <row r="352" spans="4:21" s="37" customFormat="1" ht="15.75" customHeight="1" x14ac:dyDescent="0.35">
      <c r="D352" s="40"/>
      <c r="E352" s="34"/>
      <c r="F352" s="34"/>
      <c r="G352" s="34"/>
      <c r="H352" s="34"/>
      <c r="I352" s="34"/>
      <c r="J352" s="39"/>
      <c r="K352" s="34"/>
      <c r="L352" s="34"/>
      <c r="M352" s="34"/>
      <c r="N352" s="34"/>
      <c r="O352" s="34"/>
      <c r="P352" s="39"/>
      <c r="R352" s="40"/>
      <c r="S352" s="40"/>
      <c r="T352" s="40"/>
      <c r="U352" s="40"/>
    </row>
    <row r="353" spans="4:21" s="37" customFormat="1" ht="15.75" customHeight="1" x14ac:dyDescent="0.35">
      <c r="D353" s="40"/>
      <c r="E353" s="34"/>
      <c r="F353" s="34"/>
      <c r="G353" s="34"/>
      <c r="H353" s="34"/>
      <c r="I353" s="34"/>
      <c r="J353" s="39"/>
      <c r="K353" s="34"/>
      <c r="L353" s="34"/>
      <c r="M353" s="34"/>
      <c r="N353" s="34"/>
      <c r="O353" s="34"/>
      <c r="P353" s="39"/>
      <c r="R353" s="40"/>
      <c r="S353" s="40"/>
      <c r="T353" s="40"/>
      <c r="U353" s="40"/>
    </row>
    <row r="354" spans="4:21" s="37" customFormat="1" ht="15.75" customHeight="1" x14ac:dyDescent="0.35">
      <c r="D354" s="40"/>
      <c r="E354" s="34"/>
      <c r="F354" s="34"/>
      <c r="G354" s="34"/>
      <c r="H354" s="34"/>
      <c r="I354" s="34"/>
      <c r="J354" s="39"/>
      <c r="K354" s="34"/>
      <c r="L354" s="34"/>
      <c r="M354" s="34"/>
      <c r="N354" s="34"/>
      <c r="O354" s="34"/>
      <c r="P354" s="39"/>
      <c r="R354" s="40"/>
      <c r="S354" s="40"/>
      <c r="T354" s="40"/>
      <c r="U354" s="40"/>
    </row>
    <row r="355" spans="4:21" s="37" customFormat="1" ht="15.75" customHeight="1" x14ac:dyDescent="0.35">
      <c r="D355" s="40"/>
      <c r="E355" s="34"/>
      <c r="F355" s="34"/>
      <c r="G355" s="34"/>
      <c r="H355" s="34"/>
      <c r="I355" s="34"/>
      <c r="J355" s="39"/>
      <c r="K355" s="34"/>
      <c r="L355" s="34"/>
      <c r="M355" s="34"/>
      <c r="N355" s="34"/>
      <c r="O355" s="34"/>
      <c r="P355" s="39"/>
      <c r="R355" s="40"/>
      <c r="S355" s="40"/>
      <c r="T355" s="40"/>
      <c r="U355" s="40"/>
    </row>
    <row r="356" spans="4:21" s="37" customFormat="1" ht="15.75" customHeight="1" x14ac:dyDescent="0.35">
      <c r="D356" s="40"/>
      <c r="E356" s="34"/>
      <c r="F356" s="34"/>
      <c r="G356" s="34"/>
      <c r="H356" s="34"/>
      <c r="I356" s="34"/>
      <c r="J356" s="39"/>
      <c r="K356" s="34"/>
      <c r="L356" s="34"/>
      <c r="M356" s="34"/>
      <c r="N356" s="34"/>
      <c r="O356" s="34"/>
      <c r="P356" s="39"/>
      <c r="R356" s="40"/>
      <c r="S356" s="40"/>
      <c r="T356" s="40"/>
      <c r="U356" s="40"/>
    </row>
    <row r="357" spans="4:21" s="37" customFormat="1" ht="15.75" customHeight="1" x14ac:dyDescent="0.35">
      <c r="D357" s="40"/>
      <c r="E357" s="34"/>
      <c r="F357" s="34"/>
      <c r="G357" s="34"/>
      <c r="H357" s="34"/>
      <c r="I357" s="34"/>
      <c r="J357" s="39"/>
      <c r="K357" s="34"/>
      <c r="L357" s="34"/>
      <c r="M357" s="34"/>
      <c r="N357" s="34"/>
      <c r="O357" s="34"/>
      <c r="P357" s="39"/>
      <c r="R357" s="40"/>
      <c r="S357" s="40"/>
      <c r="T357" s="40"/>
      <c r="U357" s="40"/>
    </row>
    <row r="358" spans="4:21" s="37" customFormat="1" ht="15.75" customHeight="1" x14ac:dyDescent="0.35">
      <c r="D358" s="40"/>
      <c r="E358" s="34"/>
      <c r="F358" s="34"/>
      <c r="G358" s="34"/>
      <c r="H358" s="34"/>
      <c r="I358" s="34"/>
      <c r="J358" s="39"/>
      <c r="K358" s="34"/>
      <c r="L358" s="34"/>
      <c r="M358" s="34"/>
      <c r="N358" s="34"/>
      <c r="O358" s="34"/>
      <c r="P358" s="39"/>
      <c r="R358" s="40"/>
      <c r="S358" s="40"/>
      <c r="T358" s="40"/>
      <c r="U358" s="40"/>
    </row>
    <row r="359" spans="4:21" s="37" customFormat="1" ht="15.75" customHeight="1" x14ac:dyDescent="0.35">
      <c r="D359" s="40"/>
      <c r="E359" s="34"/>
      <c r="F359" s="34"/>
      <c r="G359" s="34"/>
      <c r="H359" s="34"/>
      <c r="I359" s="34"/>
      <c r="J359" s="39"/>
      <c r="K359" s="34"/>
      <c r="L359" s="34"/>
      <c r="M359" s="34"/>
      <c r="N359" s="34"/>
      <c r="O359" s="34"/>
      <c r="P359" s="39"/>
      <c r="R359" s="40"/>
      <c r="S359" s="40"/>
      <c r="T359" s="40"/>
      <c r="U359" s="40"/>
    </row>
    <row r="360" spans="4:21" s="37" customFormat="1" ht="15.75" customHeight="1" x14ac:dyDescent="0.35">
      <c r="D360" s="40"/>
      <c r="E360" s="34"/>
      <c r="F360" s="34"/>
      <c r="G360" s="34"/>
      <c r="H360" s="34"/>
      <c r="I360" s="34"/>
      <c r="J360" s="39"/>
      <c r="K360" s="34"/>
      <c r="L360" s="34"/>
      <c r="M360" s="34"/>
      <c r="N360" s="34"/>
      <c r="O360" s="34"/>
      <c r="P360" s="39"/>
      <c r="R360" s="40"/>
      <c r="S360" s="40"/>
      <c r="T360" s="40"/>
      <c r="U360" s="40"/>
    </row>
    <row r="361" spans="4:21" s="37" customFormat="1" ht="15.75" customHeight="1" x14ac:dyDescent="0.35">
      <c r="D361" s="40"/>
      <c r="E361" s="34"/>
      <c r="F361" s="34"/>
      <c r="G361" s="34"/>
      <c r="H361" s="34"/>
      <c r="I361" s="34"/>
      <c r="J361" s="39"/>
      <c r="K361" s="34"/>
      <c r="L361" s="34"/>
      <c r="M361" s="34"/>
      <c r="N361" s="34"/>
      <c r="O361" s="34"/>
      <c r="P361" s="39"/>
      <c r="R361" s="40"/>
      <c r="S361" s="40"/>
      <c r="T361" s="40"/>
      <c r="U361" s="40"/>
    </row>
    <row r="362" spans="4:21" s="37" customFormat="1" ht="15.75" customHeight="1" x14ac:dyDescent="0.35">
      <c r="D362" s="40"/>
      <c r="E362" s="34"/>
      <c r="F362" s="34"/>
      <c r="G362" s="34"/>
      <c r="H362" s="34"/>
      <c r="I362" s="34"/>
      <c r="J362" s="39"/>
      <c r="K362" s="34"/>
      <c r="L362" s="34"/>
      <c r="M362" s="34"/>
      <c r="N362" s="34"/>
      <c r="O362" s="34"/>
      <c r="P362" s="39"/>
      <c r="R362" s="40"/>
      <c r="S362" s="40"/>
      <c r="T362" s="40"/>
      <c r="U362" s="40"/>
    </row>
    <row r="363" spans="4:21" s="37" customFormat="1" ht="15.75" customHeight="1" x14ac:dyDescent="0.35">
      <c r="D363" s="40"/>
      <c r="E363" s="34"/>
      <c r="F363" s="34"/>
      <c r="G363" s="34"/>
      <c r="H363" s="34"/>
      <c r="I363" s="34"/>
      <c r="J363" s="39"/>
      <c r="K363" s="34"/>
      <c r="L363" s="34"/>
      <c r="M363" s="34"/>
      <c r="N363" s="34"/>
      <c r="O363" s="34"/>
      <c r="P363" s="39"/>
      <c r="R363" s="40"/>
      <c r="S363" s="40"/>
      <c r="T363" s="40"/>
      <c r="U363" s="40"/>
    </row>
    <row r="364" spans="4:21" s="37" customFormat="1" ht="15.75" customHeight="1" x14ac:dyDescent="0.35">
      <c r="D364" s="40"/>
      <c r="E364" s="34"/>
      <c r="F364" s="34"/>
      <c r="G364" s="34"/>
      <c r="H364" s="34"/>
      <c r="I364" s="34"/>
      <c r="J364" s="39"/>
      <c r="K364" s="34"/>
      <c r="L364" s="34"/>
      <c r="M364" s="34"/>
      <c r="N364" s="34"/>
      <c r="O364" s="34"/>
      <c r="P364" s="39"/>
      <c r="R364" s="40"/>
      <c r="S364" s="40"/>
      <c r="T364" s="40"/>
      <c r="U364" s="40"/>
    </row>
    <row r="365" spans="4:21" s="37" customFormat="1" ht="15.75" customHeight="1" x14ac:dyDescent="0.35">
      <c r="D365" s="40"/>
      <c r="E365" s="34"/>
      <c r="F365" s="34"/>
      <c r="G365" s="34"/>
      <c r="H365" s="34"/>
      <c r="I365" s="34"/>
      <c r="J365" s="39"/>
      <c r="K365" s="34"/>
      <c r="L365" s="34"/>
      <c r="M365" s="34"/>
      <c r="N365" s="34"/>
      <c r="O365" s="34"/>
      <c r="P365" s="39"/>
      <c r="R365" s="40"/>
      <c r="S365" s="40"/>
      <c r="T365" s="40"/>
      <c r="U365" s="40"/>
    </row>
    <row r="366" spans="4:21" s="37" customFormat="1" ht="15.75" customHeight="1" x14ac:dyDescent="0.35">
      <c r="D366" s="40"/>
      <c r="E366" s="34"/>
      <c r="F366" s="34"/>
      <c r="G366" s="34"/>
      <c r="H366" s="34"/>
      <c r="I366" s="34"/>
      <c r="J366" s="39"/>
      <c r="K366" s="34"/>
      <c r="L366" s="34"/>
      <c r="M366" s="34"/>
      <c r="N366" s="34"/>
      <c r="O366" s="34"/>
      <c r="P366" s="39"/>
      <c r="R366" s="40"/>
      <c r="S366" s="40"/>
      <c r="T366" s="40"/>
      <c r="U366" s="40"/>
    </row>
    <row r="367" spans="4:21" s="37" customFormat="1" ht="15.75" customHeight="1" x14ac:dyDescent="0.35">
      <c r="D367" s="40"/>
      <c r="E367" s="34"/>
      <c r="F367" s="34"/>
      <c r="G367" s="34"/>
      <c r="H367" s="34"/>
      <c r="I367" s="34"/>
      <c r="J367" s="39"/>
      <c r="K367" s="34"/>
      <c r="L367" s="34"/>
      <c r="M367" s="34"/>
      <c r="N367" s="34"/>
      <c r="O367" s="34"/>
      <c r="P367" s="39"/>
      <c r="R367" s="40"/>
      <c r="S367" s="40"/>
      <c r="T367" s="40"/>
      <c r="U367" s="40"/>
    </row>
    <row r="368" spans="4:21" s="37" customFormat="1" ht="15.75" customHeight="1" x14ac:dyDescent="0.35">
      <c r="D368" s="40"/>
      <c r="E368" s="34"/>
      <c r="F368" s="34"/>
      <c r="G368" s="34"/>
      <c r="H368" s="34"/>
      <c r="I368" s="34"/>
      <c r="J368" s="39"/>
      <c r="K368" s="34"/>
      <c r="L368" s="34"/>
      <c r="M368" s="34"/>
      <c r="N368" s="34"/>
      <c r="O368" s="34"/>
      <c r="P368" s="39"/>
      <c r="R368" s="40"/>
      <c r="S368" s="40"/>
      <c r="T368" s="40"/>
      <c r="U368" s="40"/>
    </row>
    <row r="369" spans="4:21" s="37" customFormat="1" ht="15.75" customHeight="1" x14ac:dyDescent="0.35">
      <c r="D369" s="40"/>
      <c r="E369" s="34"/>
      <c r="F369" s="34"/>
      <c r="G369" s="34"/>
      <c r="H369" s="34"/>
      <c r="I369" s="34"/>
      <c r="J369" s="39"/>
      <c r="K369" s="34"/>
      <c r="L369" s="34"/>
      <c r="M369" s="34"/>
      <c r="N369" s="34"/>
      <c r="O369" s="34"/>
      <c r="P369" s="39"/>
      <c r="R369" s="40"/>
      <c r="S369" s="40"/>
      <c r="T369" s="40"/>
      <c r="U369" s="40"/>
    </row>
    <row r="370" spans="4:21" s="37" customFormat="1" ht="15.75" customHeight="1" x14ac:dyDescent="0.35">
      <c r="D370" s="40"/>
      <c r="E370" s="34"/>
      <c r="F370" s="34"/>
      <c r="G370" s="34"/>
      <c r="H370" s="34"/>
      <c r="I370" s="34"/>
      <c r="J370" s="39"/>
      <c r="K370" s="34"/>
      <c r="L370" s="34"/>
      <c r="M370" s="34"/>
      <c r="N370" s="34"/>
      <c r="O370" s="34"/>
      <c r="P370" s="39"/>
      <c r="R370" s="40"/>
      <c r="S370" s="40"/>
      <c r="T370" s="40"/>
      <c r="U370" s="40"/>
    </row>
    <row r="371" spans="4:21" s="37" customFormat="1" ht="15.75" customHeight="1" x14ac:dyDescent="0.35">
      <c r="D371" s="40"/>
      <c r="E371" s="34"/>
      <c r="F371" s="34"/>
      <c r="G371" s="34"/>
      <c r="H371" s="34"/>
      <c r="I371" s="34"/>
      <c r="J371" s="39"/>
      <c r="K371" s="34"/>
      <c r="L371" s="34"/>
      <c r="M371" s="34"/>
      <c r="N371" s="34"/>
      <c r="O371" s="34"/>
      <c r="P371" s="39"/>
      <c r="R371" s="40"/>
      <c r="S371" s="40"/>
      <c r="T371" s="40"/>
      <c r="U371" s="40"/>
    </row>
    <row r="372" spans="4:21" s="37" customFormat="1" ht="15.75" customHeight="1" x14ac:dyDescent="0.35">
      <c r="D372" s="40"/>
      <c r="E372" s="34"/>
      <c r="F372" s="34"/>
      <c r="G372" s="34"/>
      <c r="H372" s="34"/>
      <c r="I372" s="34"/>
      <c r="J372" s="39"/>
      <c r="K372" s="34"/>
      <c r="L372" s="34"/>
      <c r="M372" s="34"/>
      <c r="N372" s="34"/>
      <c r="O372" s="34"/>
      <c r="P372" s="39"/>
      <c r="R372" s="40"/>
      <c r="S372" s="40"/>
      <c r="T372" s="40"/>
      <c r="U372" s="40"/>
    </row>
    <row r="373" spans="4:21" s="37" customFormat="1" ht="15.75" customHeight="1" x14ac:dyDescent="0.35">
      <c r="D373" s="40"/>
      <c r="E373" s="34"/>
      <c r="F373" s="34"/>
      <c r="G373" s="34"/>
      <c r="H373" s="34"/>
      <c r="I373" s="34"/>
      <c r="J373" s="39"/>
      <c r="K373" s="34"/>
      <c r="L373" s="34"/>
      <c r="M373" s="34"/>
      <c r="N373" s="34"/>
      <c r="O373" s="34"/>
      <c r="P373" s="39"/>
      <c r="R373" s="40"/>
      <c r="S373" s="40"/>
      <c r="T373" s="40"/>
      <c r="U373" s="40"/>
    </row>
    <row r="374" spans="4:21" s="37" customFormat="1" ht="15.75" customHeight="1" x14ac:dyDescent="0.35">
      <c r="D374" s="40"/>
      <c r="E374" s="34"/>
      <c r="F374" s="34"/>
      <c r="G374" s="34"/>
      <c r="H374" s="34"/>
      <c r="I374" s="34"/>
      <c r="J374" s="39"/>
      <c r="K374" s="34"/>
      <c r="L374" s="34"/>
      <c r="M374" s="34"/>
      <c r="N374" s="34"/>
      <c r="O374" s="34"/>
      <c r="P374" s="39"/>
      <c r="R374" s="40"/>
      <c r="S374" s="40"/>
      <c r="T374" s="40"/>
      <c r="U374" s="40"/>
    </row>
    <row r="375" spans="4:21" s="37" customFormat="1" ht="15.75" customHeight="1" x14ac:dyDescent="0.35">
      <c r="D375" s="40"/>
      <c r="E375" s="34"/>
      <c r="F375" s="34"/>
      <c r="G375" s="34"/>
      <c r="H375" s="34"/>
      <c r="I375" s="34"/>
      <c r="J375" s="39"/>
      <c r="K375" s="34"/>
      <c r="L375" s="34"/>
      <c r="M375" s="34"/>
      <c r="N375" s="34"/>
      <c r="O375" s="34"/>
      <c r="P375" s="39"/>
      <c r="R375" s="40"/>
      <c r="S375" s="40"/>
      <c r="T375" s="40"/>
      <c r="U375" s="40"/>
    </row>
    <row r="376" spans="4:21" s="37" customFormat="1" ht="15.75" customHeight="1" x14ac:dyDescent="0.35">
      <c r="D376" s="40"/>
      <c r="E376" s="34"/>
      <c r="F376" s="34"/>
      <c r="G376" s="34"/>
      <c r="H376" s="34"/>
      <c r="I376" s="34"/>
      <c r="J376" s="39"/>
      <c r="K376" s="34"/>
      <c r="L376" s="34"/>
      <c r="M376" s="34"/>
      <c r="N376" s="34"/>
      <c r="O376" s="34"/>
      <c r="P376" s="39"/>
      <c r="R376" s="40"/>
      <c r="S376" s="40"/>
      <c r="T376" s="40"/>
      <c r="U376" s="40"/>
    </row>
    <row r="377" spans="4:21" s="37" customFormat="1" ht="15.75" customHeight="1" x14ac:dyDescent="0.35">
      <c r="D377" s="40"/>
      <c r="E377" s="34"/>
      <c r="F377" s="34"/>
      <c r="G377" s="34"/>
      <c r="H377" s="34"/>
      <c r="I377" s="34"/>
      <c r="J377" s="39"/>
      <c r="K377" s="34"/>
      <c r="L377" s="34"/>
      <c r="M377" s="34"/>
      <c r="N377" s="34"/>
      <c r="O377" s="34"/>
      <c r="P377" s="39"/>
      <c r="R377" s="40"/>
      <c r="S377" s="40"/>
      <c r="T377" s="40"/>
      <c r="U377" s="40"/>
    </row>
    <row r="378" spans="4:21" s="37" customFormat="1" ht="15.75" customHeight="1" x14ac:dyDescent="0.35">
      <c r="D378" s="40"/>
      <c r="E378" s="34"/>
      <c r="F378" s="34"/>
      <c r="G378" s="34"/>
      <c r="H378" s="34"/>
      <c r="I378" s="34"/>
      <c r="J378" s="39"/>
      <c r="K378" s="34"/>
      <c r="L378" s="34"/>
      <c r="M378" s="34"/>
      <c r="N378" s="34"/>
      <c r="O378" s="34"/>
      <c r="P378" s="39"/>
      <c r="R378" s="40"/>
      <c r="S378" s="40"/>
      <c r="T378" s="40"/>
      <c r="U378" s="40"/>
    </row>
    <row r="379" spans="4:21" s="37" customFormat="1" ht="15.75" customHeight="1" x14ac:dyDescent="0.35">
      <c r="D379" s="40"/>
      <c r="E379" s="34"/>
      <c r="F379" s="34"/>
      <c r="G379" s="34"/>
      <c r="H379" s="34"/>
      <c r="I379" s="34"/>
      <c r="J379" s="39"/>
      <c r="K379" s="34"/>
      <c r="L379" s="34"/>
      <c r="M379" s="34"/>
      <c r="N379" s="34"/>
      <c r="O379" s="34"/>
      <c r="P379" s="39"/>
      <c r="R379" s="40"/>
      <c r="S379" s="40"/>
      <c r="T379" s="40"/>
      <c r="U379" s="40"/>
    </row>
    <row r="380" spans="4:21" s="37" customFormat="1" ht="15.75" customHeight="1" x14ac:dyDescent="0.35">
      <c r="D380" s="40"/>
      <c r="E380" s="34"/>
      <c r="F380" s="34"/>
      <c r="G380" s="34"/>
      <c r="H380" s="34"/>
      <c r="I380" s="34"/>
      <c r="J380" s="39"/>
      <c r="K380" s="34"/>
      <c r="L380" s="34"/>
      <c r="M380" s="34"/>
      <c r="N380" s="34"/>
      <c r="O380" s="34"/>
      <c r="P380" s="39"/>
      <c r="R380" s="40"/>
      <c r="S380" s="40"/>
      <c r="T380" s="40"/>
      <c r="U380" s="40"/>
    </row>
    <row r="381" spans="4:21" s="37" customFormat="1" ht="15.75" customHeight="1" x14ac:dyDescent="0.35">
      <c r="D381" s="40"/>
      <c r="E381" s="34"/>
      <c r="F381" s="34"/>
      <c r="G381" s="34"/>
      <c r="H381" s="34"/>
      <c r="I381" s="34"/>
      <c r="J381" s="39"/>
      <c r="K381" s="34"/>
      <c r="L381" s="34"/>
      <c r="M381" s="34"/>
      <c r="N381" s="34"/>
      <c r="O381" s="34"/>
      <c r="P381" s="39"/>
      <c r="R381" s="40"/>
      <c r="S381" s="40"/>
      <c r="T381" s="40"/>
      <c r="U381" s="40"/>
    </row>
    <row r="382" spans="4:21" s="37" customFormat="1" ht="15.75" customHeight="1" x14ac:dyDescent="0.35">
      <c r="D382" s="40"/>
      <c r="E382" s="34"/>
      <c r="F382" s="34"/>
      <c r="G382" s="34"/>
      <c r="H382" s="34"/>
      <c r="I382" s="34"/>
      <c r="J382" s="39"/>
      <c r="K382" s="34"/>
      <c r="L382" s="34"/>
      <c r="M382" s="34"/>
      <c r="N382" s="34"/>
      <c r="O382" s="34"/>
      <c r="P382" s="39"/>
      <c r="R382" s="40"/>
      <c r="S382" s="40"/>
      <c r="T382" s="40"/>
      <c r="U382" s="40"/>
    </row>
    <row r="383" spans="4:21" s="37" customFormat="1" ht="15.75" customHeight="1" x14ac:dyDescent="0.35">
      <c r="D383" s="40"/>
      <c r="E383" s="34"/>
      <c r="F383" s="34"/>
      <c r="G383" s="34"/>
      <c r="H383" s="34"/>
      <c r="I383" s="34"/>
      <c r="J383" s="39"/>
      <c r="K383" s="34"/>
      <c r="L383" s="34"/>
      <c r="M383" s="34"/>
      <c r="N383" s="34"/>
      <c r="O383" s="34"/>
      <c r="P383" s="39"/>
      <c r="R383" s="40"/>
      <c r="S383" s="40"/>
      <c r="T383" s="40"/>
      <c r="U383" s="40"/>
    </row>
    <row r="384" spans="4:21" s="37" customFormat="1" ht="15.75" customHeight="1" x14ac:dyDescent="0.35">
      <c r="D384" s="40"/>
      <c r="E384" s="34"/>
      <c r="F384" s="34"/>
      <c r="G384" s="34"/>
      <c r="H384" s="34"/>
      <c r="I384" s="34"/>
      <c r="J384" s="39"/>
      <c r="K384" s="34"/>
      <c r="L384" s="34"/>
      <c r="M384" s="34"/>
      <c r="N384" s="34"/>
      <c r="O384" s="34"/>
      <c r="P384" s="39"/>
      <c r="R384" s="40"/>
      <c r="S384" s="40"/>
      <c r="T384" s="40"/>
      <c r="U384" s="40"/>
    </row>
    <row r="385" spans="4:21" s="37" customFormat="1" ht="15.75" customHeight="1" x14ac:dyDescent="0.35">
      <c r="D385" s="40"/>
      <c r="E385" s="34"/>
      <c r="F385" s="34"/>
      <c r="G385" s="34"/>
      <c r="H385" s="34"/>
      <c r="I385" s="34"/>
      <c r="J385" s="39"/>
      <c r="K385" s="34"/>
      <c r="L385" s="34"/>
      <c r="M385" s="34"/>
      <c r="N385" s="34"/>
      <c r="O385" s="34"/>
      <c r="P385" s="39"/>
      <c r="R385" s="40"/>
      <c r="S385" s="40"/>
      <c r="T385" s="40"/>
      <c r="U385" s="40"/>
    </row>
    <row r="386" spans="4:21" s="37" customFormat="1" ht="15.75" customHeight="1" x14ac:dyDescent="0.35">
      <c r="D386" s="40"/>
      <c r="E386" s="34"/>
      <c r="F386" s="34"/>
      <c r="G386" s="34"/>
      <c r="H386" s="34"/>
      <c r="I386" s="34"/>
      <c r="J386" s="39"/>
      <c r="K386" s="34"/>
      <c r="L386" s="34"/>
      <c r="M386" s="34"/>
      <c r="N386" s="34"/>
      <c r="O386" s="34"/>
      <c r="P386" s="39"/>
      <c r="R386" s="40"/>
      <c r="S386" s="40"/>
      <c r="T386" s="40"/>
      <c r="U386" s="40"/>
    </row>
    <row r="387" spans="4:21" s="37" customFormat="1" ht="15.75" customHeight="1" x14ac:dyDescent="0.35">
      <c r="D387" s="40"/>
      <c r="E387" s="34"/>
      <c r="F387" s="34"/>
      <c r="G387" s="34"/>
      <c r="H387" s="34"/>
      <c r="I387" s="34"/>
      <c r="J387" s="39"/>
      <c r="K387" s="34"/>
      <c r="L387" s="34"/>
      <c r="M387" s="34"/>
      <c r="N387" s="34"/>
      <c r="O387" s="34"/>
      <c r="P387" s="39"/>
      <c r="R387" s="40"/>
      <c r="S387" s="40"/>
      <c r="T387" s="40"/>
      <c r="U387" s="40"/>
    </row>
    <row r="388" spans="4:21" s="37" customFormat="1" ht="15.75" customHeight="1" x14ac:dyDescent="0.35">
      <c r="D388" s="40"/>
      <c r="E388" s="34"/>
      <c r="F388" s="34"/>
      <c r="G388" s="34"/>
      <c r="H388" s="34"/>
      <c r="I388" s="34"/>
      <c r="J388" s="39"/>
      <c r="K388" s="34"/>
      <c r="L388" s="34"/>
      <c r="M388" s="34"/>
      <c r="N388" s="34"/>
      <c r="O388" s="34"/>
      <c r="P388" s="39"/>
      <c r="R388" s="40"/>
      <c r="S388" s="40"/>
      <c r="T388" s="40"/>
      <c r="U388" s="40"/>
    </row>
    <row r="389" spans="4:21" s="37" customFormat="1" ht="15.75" customHeight="1" x14ac:dyDescent="0.35">
      <c r="D389" s="40"/>
      <c r="E389" s="34"/>
      <c r="F389" s="34"/>
      <c r="G389" s="34"/>
      <c r="H389" s="34"/>
      <c r="I389" s="34"/>
      <c r="J389" s="39"/>
      <c r="K389" s="34"/>
      <c r="L389" s="34"/>
      <c r="M389" s="34"/>
      <c r="N389" s="34"/>
      <c r="O389" s="34"/>
      <c r="P389" s="39"/>
      <c r="R389" s="40"/>
      <c r="S389" s="40"/>
      <c r="T389" s="40"/>
      <c r="U389" s="40"/>
    </row>
    <row r="390" spans="4:21" s="37" customFormat="1" ht="15.75" customHeight="1" x14ac:dyDescent="0.35">
      <c r="D390" s="40"/>
      <c r="E390" s="34"/>
      <c r="F390" s="34"/>
      <c r="G390" s="34"/>
      <c r="H390" s="34"/>
      <c r="I390" s="34"/>
      <c r="J390" s="39"/>
      <c r="K390" s="34"/>
      <c r="L390" s="34"/>
      <c r="M390" s="34"/>
      <c r="N390" s="34"/>
      <c r="O390" s="34"/>
      <c r="P390" s="39"/>
      <c r="R390" s="40"/>
      <c r="S390" s="40"/>
      <c r="T390" s="40"/>
      <c r="U390" s="40"/>
    </row>
    <row r="391" spans="4:21" s="37" customFormat="1" ht="15.75" customHeight="1" x14ac:dyDescent="0.35">
      <c r="D391" s="40"/>
      <c r="E391" s="34"/>
      <c r="F391" s="34"/>
      <c r="G391" s="34"/>
      <c r="H391" s="34"/>
      <c r="I391" s="34"/>
      <c r="J391" s="39"/>
      <c r="K391" s="34"/>
      <c r="L391" s="34"/>
      <c r="M391" s="34"/>
      <c r="N391" s="34"/>
      <c r="O391" s="34"/>
      <c r="P391" s="39"/>
      <c r="R391" s="40"/>
      <c r="S391" s="40"/>
      <c r="T391" s="40"/>
      <c r="U391" s="40"/>
    </row>
    <row r="392" spans="4:21" s="37" customFormat="1" ht="15.75" customHeight="1" x14ac:dyDescent="0.35">
      <c r="D392" s="40"/>
      <c r="E392" s="34"/>
      <c r="F392" s="34"/>
      <c r="G392" s="34"/>
      <c r="H392" s="34"/>
      <c r="I392" s="34"/>
      <c r="J392" s="39"/>
      <c r="K392" s="34"/>
      <c r="L392" s="34"/>
      <c r="M392" s="34"/>
      <c r="N392" s="34"/>
      <c r="O392" s="34"/>
      <c r="P392" s="39"/>
      <c r="R392" s="40"/>
      <c r="S392" s="40"/>
      <c r="T392" s="40"/>
      <c r="U392" s="40"/>
    </row>
    <row r="393" spans="4:21" s="37" customFormat="1" ht="15.75" customHeight="1" x14ac:dyDescent="0.35">
      <c r="D393" s="40"/>
      <c r="E393" s="34"/>
      <c r="F393" s="34"/>
      <c r="G393" s="34"/>
      <c r="H393" s="34"/>
      <c r="I393" s="34"/>
      <c r="J393" s="39"/>
      <c r="K393" s="34"/>
      <c r="L393" s="34"/>
      <c r="M393" s="34"/>
      <c r="N393" s="34"/>
      <c r="O393" s="34"/>
      <c r="P393" s="39"/>
      <c r="R393" s="40"/>
      <c r="S393" s="40"/>
      <c r="T393" s="40"/>
      <c r="U393" s="40"/>
    </row>
    <row r="394" spans="4:21" s="37" customFormat="1" ht="15.75" customHeight="1" x14ac:dyDescent="0.35">
      <c r="D394" s="40"/>
      <c r="E394" s="34"/>
      <c r="F394" s="34"/>
      <c r="G394" s="34"/>
      <c r="H394" s="34"/>
      <c r="I394" s="34"/>
      <c r="J394" s="39"/>
      <c r="K394" s="34"/>
      <c r="L394" s="34"/>
      <c r="M394" s="34"/>
      <c r="N394" s="34"/>
      <c r="O394" s="34"/>
      <c r="P394" s="39"/>
      <c r="R394" s="40"/>
      <c r="S394" s="40"/>
      <c r="T394" s="40"/>
      <c r="U394" s="40"/>
    </row>
    <row r="395" spans="4:21" s="37" customFormat="1" ht="15.75" customHeight="1" x14ac:dyDescent="0.35">
      <c r="D395" s="40"/>
      <c r="E395" s="34"/>
      <c r="F395" s="34"/>
      <c r="G395" s="34"/>
      <c r="H395" s="34"/>
      <c r="I395" s="34"/>
      <c r="J395" s="39"/>
      <c r="K395" s="34"/>
      <c r="L395" s="34"/>
      <c r="M395" s="34"/>
      <c r="N395" s="34"/>
      <c r="O395" s="34"/>
      <c r="P395" s="39"/>
      <c r="R395" s="40"/>
      <c r="S395" s="40"/>
      <c r="T395" s="40"/>
      <c r="U395" s="40"/>
    </row>
    <row r="396" spans="4:21" s="37" customFormat="1" ht="15.75" customHeight="1" x14ac:dyDescent="0.35">
      <c r="D396" s="40"/>
      <c r="E396" s="34"/>
      <c r="F396" s="34"/>
      <c r="G396" s="34"/>
      <c r="H396" s="34"/>
      <c r="I396" s="34"/>
      <c r="J396" s="39"/>
      <c r="K396" s="34"/>
      <c r="L396" s="34"/>
      <c r="M396" s="34"/>
      <c r="N396" s="34"/>
      <c r="O396" s="34"/>
      <c r="P396" s="39"/>
      <c r="R396" s="40"/>
      <c r="S396" s="40"/>
      <c r="T396" s="40"/>
      <c r="U396" s="40"/>
    </row>
    <row r="397" spans="4:21" s="37" customFormat="1" ht="15.75" customHeight="1" x14ac:dyDescent="0.35">
      <c r="D397" s="40"/>
      <c r="E397" s="34"/>
      <c r="F397" s="34"/>
      <c r="G397" s="34"/>
      <c r="H397" s="34"/>
      <c r="I397" s="34"/>
      <c r="J397" s="39"/>
      <c r="K397" s="34"/>
      <c r="L397" s="34"/>
      <c r="M397" s="34"/>
      <c r="N397" s="34"/>
      <c r="O397" s="34"/>
      <c r="P397" s="39"/>
      <c r="R397" s="40"/>
      <c r="S397" s="40"/>
      <c r="T397" s="40"/>
      <c r="U397" s="40"/>
    </row>
    <row r="398" spans="4:21" s="37" customFormat="1" ht="15.75" customHeight="1" x14ac:dyDescent="0.35">
      <c r="D398" s="40"/>
      <c r="E398" s="34"/>
      <c r="F398" s="34"/>
      <c r="G398" s="34"/>
      <c r="H398" s="34"/>
      <c r="I398" s="34"/>
      <c r="J398" s="39"/>
      <c r="K398" s="34"/>
      <c r="L398" s="34"/>
      <c r="M398" s="34"/>
      <c r="N398" s="34"/>
      <c r="O398" s="34"/>
      <c r="P398" s="39"/>
      <c r="R398" s="40"/>
      <c r="S398" s="40"/>
      <c r="T398" s="40"/>
      <c r="U398" s="40"/>
    </row>
    <row r="399" spans="4:21" s="37" customFormat="1" ht="15.75" customHeight="1" x14ac:dyDescent="0.35">
      <c r="D399" s="40"/>
      <c r="E399" s="34"/>
      <c r="F399" s="34"/>
      <c r="G399" s="34"/>
      <c r="H399" s="34"/>
      <c r="I399" s="34"/>
      <c r="J399" s="39"/>
      <c r="K399" s="34"/>
      <c r="L399" s="34"/>
      <c r="M399" s="34"/>
      <c r="N399" s="34"/>
      <c r="O399" s="34"/>
      <c r="P399" s="39"/>
      <c r="R399" s="40"/>
      <c r="S399" s="40"/>
      <c r="T399" s="40"/>
      <c r="U399" s="40"/>
    </row>
    <row r="400" spans="4:21" s="37" customFormat="1" ht="15.75" customHeight="1" x14ac:dyDescent="0.35">
      <c r="D400" s="40"/>
      <c r="E400" s="34"/>
      <c r="F400" s="34"/>
      <c r="G400" s="34"/>
      <c r="H400" s="34"/>
      <c r="I400" s="34"/>
      <c r="J400" s="39"/>
      <c r="K400" s="34"/>
      <c r="L400" s="34"/>
      <c r="M400" s="34"/>
      <c r="N400" s="34"/>
      <c r="O400" s="34"/>
      <c r="P400" s="39"/>
      <c r="R400" s="40"/>
      <c r="S400" s="40"/>
      <c r="T400" s="40"/>
      <c r="U400" s="40"/>
    </row>
    <row r="401" spans="4:21" s="37" customFormat="1" ht="15.75" customHeight="1" x14ac:dyDescent="0.35">
      <c r="D401" s="40"/>
      <c r="E401" s="34"/>
      <c r="F401" s="34"/>
      <c r="G401" s="34"/>
      <c r="H401" s="34"/>
      <c r="I401" s="34"/>
      <c r="J401" s="39"/>
      <c r="K401" s="34"/>
      <c r="L401" s="34"/>
      <c r="M401" s="34"/>
      <c r="N401" s="34"/>
      <c r="O401" s="34"/>
      <c r="P401" s="39"/>
      <c r="R401" s="40"/>
      <c r="S401" s="40"/>
      <c r="T401" s="40"/>
      <c r="U401" s="40"/>
    </row>
    <row r="402" spans="4:21" s="37" customFormat="1" ht="15.75" customHeight="1" x14ac:dyDescent="0.35">
      <c r="D402" s="40"/>
      <c r="E402" s="34"/>
      <c r="F402" s="34"/>
      <c r="G402" s="34"/>
      <c r="H402" s="34"/>
      <c r="I402" s="34"/>
      <c r="J402" s="39"/>
      <c r="K402" s="34"/>
      <c r="L402" s="34"/>
      <c r="M402" s="34"/>
      <c r="N402" s="34"/>
      <c r="O402" s="34"/>
      <c r="P402" s="39"/>
      <c r="R402" s="40"/>
      <c r="S402" s="40"/>
      <c r="T402" s="40"/>
      <c r="U402" s="40"/>
    </row>
    <row r="403" spans="4:21" s="37" customFormat="1" ht="15.75" customHeight="1" x14ac:dyDescent="0.35">
      <c r="D403" s="40"/>
      <c r="E403" s="34"/>
      <c r="F403" s="34"/>
      <c r="G403" s="34"/>
      <c r="H403" s="34"/>
      <c r="I403" s="34"/>
      <c r="J403" s="39"/>
      <c r="K403" s="34"/>
      <c r="L403" s="34"/>
      <c r="M403" s="34"/>
      <c r="N403" s="34"/>
      <c r="O403" s="34"/>
      <c r="P403" s="39"/>
      <c r="R403" s="40"/>
      <c r="S403" s="40"/>
      <c r="T403" s="40"/>
      <c r="U403" s="40"/>
    </row>
    <row r="404" spans="4:21" s="37" customFormat="1" ht="15.75" customHeight="1" x14ac:dyDescent="0.35">
      <c r="D404" s="40"/>
      <c r="E404" s="34"/>
      <c r="F404" s="34"/>
      <c r="G404" s="34"/>
      <c r="H404" s="34"/>
      <c r="I404" s="34"/>
      <c r="J404" s="39"/>
      <c r="K404" s="34"/>
      <c r="L404" s="34"/>
      <c r="M404" s="34"/>
      <c r="N404" s="34"/>
      <c r="O404" s="34"/>
      <c r="P404" s="39"/>
      <c r="R404" s="40"/>
      <c r="S404" s="40"/>
      <c r="T404" s="40"/>
      <c r="U404" s="40"/>
    </row>
    <row r="405" spans="4:21" s="37" customFormat="1" ht="15.75" customHeight="1" x14ac:dyDescent="0.35">
      <c r="D405" s="40"/>
      <c r="E405" s="34"/>
      <c r="F405" s="34"/>
      <c r="G405" s="34"/>
      <c r="H405" s="34"/>
      <c r="I405" s="34"/>
      <c r="J405" s="39"/>
      <c r="K405" s="34"/>
      <c r="L405" s="34"/>
      <c r="M405" s="34"/>
      <c r="N405" s="34"/>
      <c r="O405" s="34"/>
      <c r="P405" s="39"/>
      <c r="R405" s="40"/>
      <c r="S405" s="40"/>
      <c r="T405" s="40"/>
      <c r="U405" s="40"/>
    </row>
    <row r="406" spans="4:21" s="37" customFormat="1" ht="15.75" customHeight="1" x14ac:dyDescent="0.35">
      <c r="D406" s="40"/>
      <c r="E406" s="34"/>
      <c r="F406" s="34"/>
      <c r="G406" s="34"/>
      <c r="H406" s="34"/>
      <c r="I406" s="34"/>
      <c r="J406" s="39"/>
      <c r="K406" s="34"/>
      <c r="L406" s="34"/>
      <c r="M406" s="34"/>
      <c r="N406" s="34"/>
      <c r="O406" s="34"/>
      <c r="P406" s="39"/>
      <c r="R406" s="40"/>
      <c r="S406" s="40"/>
      <c r="T406" s="40"/>
      <c r="U406" s="40"/>
    </row>
    <row r="407" spans="4:21" s="37" customFormat="1" ht="15.75" customHeight="1" x14ac:dyDescent="0.35">
      <c r="D407" s="40"/>
      <c r="E407" s="34"/>
      <c r="F407" s="34"/>
      <c r="G407" s="34"/>
      <c r="H407" s="34"/>
      <c r="I407" s="34"/>
      <c r="J407" s="39"/>
      <c r="K407" s="34"/>
      <c r="L407" s="34"/>
      <c r="M407" s="34"/>
      <c r="N407" s="34"/>
      <c r="O407" s="34"/>
      <c r="P407" s="39"/>
      <c r="R407" s="40"/>
      <c r="S407" s="40"/>
      <c r="T407" s="40"/>
      <c r="U407" s="40"/>
    </row>
    <row r="408" spans="4:21" s="37" customFormat="1" ht="15.75" customHeight="1" x14ac:dyDescent="0.35">
      <c r="D408" s="40"/>
      <c r="E408" s="34"/>
      <c r="F408" s="34"/>
      <c r="G408" s="34"/>
      <c r="H408" s="34"/>
      <c r="I408" s="34"/>
      <c r="J408" s="39"/>
      <c r="K408" s="34"/>
      <c r="L408" s="34"/>
      <c r="M408" s="34"/>
      <c r="N408" s="34"/>
      <c r="O408" s="34"/>
      <c r="P408" s="39"/>
      <c r="R408" s="40"/>
      <c r="S408" s="40"/>
      <c r="T408" s="40"/>
      <c r="U408" s="40"/>
    </row>
    <row r="409" spans="4:21" s="37" customFormat="1" ht="15.75" customHeight="1" x14ac:dyDescent="0.35">
      <c r="D409" s="40"/>
      <c r="E409" s="34"/>
      <c r="F409" s="34"/>
      <c r="G409" s="34"/>
      <c r="H409" s="34"/>
      <c r="I409" s="34"/>
      <c r="J409" s="39"/>
      <c r="K409" s="34"/>
      <c r="L409" s="34"/>
      <c r="M409" s="34"/>
      <c r="N409" s="34"/>
      <c r="O409" s="34"/>
      <c r="P409" s="39"/>
      <c r="R409" s="40"/>
      <c r="S409" s="40"/>
      <c r="T409" s="40"/>
      <c r="U409" s="40"/>
    </row>
    <row r="410" spans="4:21" s="37" customFormat="1" ht="15.75" customHeight="1" x14ac:dyDescent="0.35">
      <c r="D410" s="40"/>
      <c r="E410" s="34"/>
      <c r="F410" s="34"/>
      <c r="G410" s="34"/>
      <c r="H410" s="34"/>
      <c r="I410" s="34"/>
      <c r="J410" s="39"/>
      <c r="K410" s="34"/>
      <c r="L410" s="34"/>
      <c r="M410" s="34"/>
      <c r="N410" s="34"/>
      <c r="O410" s="34"/>
      <c r="P410" s="39"/>
      <c r="R410" s="40"/>
      <c r="S410" s="40"/>
      <c r="T410" s="40"/>
      <c r="U410" s="40"/>
    </row>
    <row r="411" spans="4:21" s="37" customFormat="1" ht="15.75" customHeight="1" x14ac:dyDescent="0.35">
      <c r="D411" s="40"/>
      <c r="E411" s="34"/>
      <c r="F411" s="34"/>
      <c r="G411" s="34"/>
      <c r="H411" s="34"/>
      <c r="I411" s="34"/>
      <c r="J411" s="39"/>
      <c r="K411" s="34"/>
      <c r="L411" s="34"/>
      <c r="M411" s="34"/>
      <c r="N411" s="34"/>
      <c r="O411" s="34"/>
      <c r="P411" s="39"/>
      <c r="R411" s="40"/>
      <c r="S411" s="40"/>
      <c r="T411" s="40"/>
      <c r="U411" s="40"/>
    </row>
    <row r="412" spans="4:21" s="37" customFormat="1" ht="15.75" customHeight="1" x14ac:dyDescent="0.35">
      <c r="D412" s="40"/>
      <c r="E412" s="34"/>
      <c r="F412" s="34"/>
      <c r="G412" s="34"/>
      <c r="H412" s="34"/>
      <c r="I412" s="34"/>
      <c r="J412" s="39"/>
      <c r="K412" s="34"/>
      <c r="L412" s="34"/>
      <c r="M412" s="34"/>
      <c r="N412" s="34"/>
      <c r="O412" s="34"/>
      <c r="P412" s="39"/>
      <c r="R412" s="40"/>
      <c r="S412" s="40"/>
      <c r="T412" s="40"/>
      <c r="U412" s="40"/>
    </row>
    <row r="413" spans="4:21" s="37" customFormat="1" ht="15.75" customHeight="1" x14ac:dyDescent="0.35">
      <c r="D413" s="40"/>
      <c r="E413" s="34"/>
      <c r="F413" s="34"/>
      <c r="G413" s="34"/>
      <c r="H413" s="34"/>
      <c r="I413" s="34"/>
      <c r="J413" s="39"/>
      <c r="K413" s="34"/>
      <c r="L413" s="34"/>
      <c r="M413" s="34"/>
      <c r="N413" s="34"/>
      <c r="O413" s="34"/>
      <c r="P413" s="39"/>
      <c r="R413" s="40"/>
      <c r="S413" s="40"/>
      <c r="T413" s="40"/>
      <c r="U413" s="40"/>
    </row>
    <row r="414" spans="4:21" s="37" customFormat="1" ht="15.75" customHeight="1" x14ac:dyDescent="0.35">
      <c r="D414" s="40"/>
      <c r="E414" s="34"/>
      <c r="F414" s="34"/>
      <c r="G414" s="34"/>
      <c r="H414" s="34"/>
      <c r="I414" s="34"/>
      <c r="J414" s="39"/>
      <c r="K414" s="34"/>
      <c r="L414" s="34"/>
      <c r="M414" s="34"/>
      <c r="N414" s="34"/>
      <c r="O414" s="34"/>
      <c r="P414" s="39"/>
      <c r="R414" s="40"/>
      <c r="S414" s="40"/>
      <c r="T414" s="40"/>
      <c r="U414" s="40"/>
    </row>
    <row r="415" spans="4:21" s="37" customFormat="1" ht="15.75" customHeight="1" x14ac:dyDescent="0.35">
      <c r="D415" s="40"/>
      <c r="E415" s="34"/>
      <c r="F415" s="34"/>
      <c r="G415" s="34"/>
      <c r="H415" s="34"/>
      <c r="I415" s="34"/>
      <c r="J415" s="39"/>
      <c r="K415" s="34"/>
      <c r="L415" s="34"/>
      <c r="M415" s="34"/>
      <c r="N415" s="34"/>
      <c r="O415" s="34"/>
      <c r="P415" s="39"/>
      <c r="R415" s="40"/>
      <c r="S415" s="40"/>
      <c r="T415" s="40"/>
      <c r="U415" s="40"/>
    </row>
    <row r="416" spans="4:21" s="37" customFormat="1" ht="15.75" customHeight="1" x14ac:dyDescent="0.35">
      <c r="D416" s="40"/>
      <c r="E416" s="34"/>
      <c r="F416" s="34"/>
      <c r="G416" s="34"/>
      <c r="H416" s="34"/>
      <c r="I416" s="34"/>
      <c r="J416" s="39"/>
      <c r="K416" s="34"/>
      <c r="L416" s="34"/>
      <c r="M416" s="34"/>
      <c r="N416" s="34"/>
      <c r="O416" s="34"/>
      <c r="P416" s="39"/>
      <c r="R416" s="40"/>
      <c r="S416" s="40"/>
      <c r="T416" s="40"/>
      <c r="U416" s="40"/>
    </row>
    <row r="417" spans="4:21" s="37" customFormat="1" ht="15.75" customHeight="1" x14ac:dyDescent="0.35">
      <c r="D417" s="40"/>
      <c r="E417" s="34"/>
      <c r="F417" s="34"/>
      <c r="G417" s="34"/>
      <c r="H417" s="34"/>
      <c r="I417" s="34"/>
      <c r="J417" s="39"/>
      <c r="K417" s="34"/>
      <c r="L417" s="34"/>
      <c r="M417" s="34"/>
      <c r="N417" s="34"/>
      <c r="O417" s="34"/>
      <c r="P417" s="39"/>
      <c r="R417" s="40"/>
      <c r="S417" s="40"/>
      <c r="T417" s="40"/>
      <c r="U417" s="40"/>
    </row>
    <row r="418" spans="4:21" s="37" customFormat="1" ht="15.75" customHeight="1" x14ac:dyDescent="0.35">
      <c r="D418" s="40"/>
      <c r="E418" s="34"/>
      <c r="F418" s="34"/>
      <c r="G418" s="34"/>
      <c r="H418" s="34"/>
      <c r="I418" s="34"/>
      <c r="J418" s="39"/>
      <c r="K418" s="34"/>
      <c r="L418" s="34"/>
      <c r="M418" s="34"/>
      <c r="N418" s="34"/>
      <c r="O418" s="34"/>
      <c r="P418" s="39"/>
      <c r="R418" s="40"/>
      <c r="S418" s="40"/>
      <c r="T418" s="40"/>
      <c r="U418" s="40"/>
    </row>
    <row r="419" spans="4:21" s="37" customFormat="1" ht="15.75" customHeight="1" x14ac:dyDescent="0.35">
      <c r="D419" s="40"/>
      <c r="E419" s="34"/>
      <c r="F419" s="34"/>
      <c r="G419" s="34"/>
      <c r="H419" s="34"/>
      <c r="I419" s="34"/>
      <c r="J419" s="39"/>
      <c r="K419" s="34"/>
      <c r="L419" s="34"/>
      <c r="M419" s="34"/>
      <c r="N419" s="34"/>
      <c r="O419" s="34"/>
      <c r="P419" s="39"/>
      <c r="R419" s="40"/>
      <c r="S419" s="40"/>
      <c r="T419" s="40"/>
      <c r="U419" s="40"/>
    </row>
    <row r="420" spans="4:21" s="37" customFormat="1" ht="15.75" customHeight="1" x14ac:dyDescent="0.35">
      <c r="D420" s="40"/>
      <c r="E420" s="34"/>
      <c r="F420" s="34"/>
      <c r="G420" s="34"/>
      <c r="H420" s="34"/>
      <c r="I420" s="34"/>
      <c r="J420" s="39"/>
      <c r="K420" s="34"/>
      <c r="L420" s="34"/>
      <c r="M420" s="34"/>
      <c r="N420" s="34"/>
      <c r="O420" s="34"/>
      <c r="P420" s="39"/>
      <c r="R420" s="40"/>
      <c r="S420" s="40"/>
      <c r="T420" s="40"/>
      <c r="U420" s="40"/>
    </row>
    <row r="421" spans="4:21" s="37" customFormat="1" ht="15.75" customHeight="1" x14ac:dyDescent="0.35">
      <c r="D421" s="40"/>
      <c r="E421" s="34"/>
      <c r="F421" s="34"/>
      <c r="G421" s="34"/>
      <c r="H421" s="34"/>
      <c r="I421" s="34"/>
      <c r="J421" s="39"/>
      <c r="K421" s="34"/>
      <c r="L421" s="34"/>
      <c r="M421" s="34"/>
      <c r="N421" s="34"/>
      <c r="O421" s="34"/>
      <c r="P421" s="39"/>
      <c r="R421" s="40"/>
      <c r="S421" s="40"/>
      <c r="T421" s="40"/>
      <c r="U421" s="40"/>
    </row>
    <row r="422" spans="4:21" s="37" customFormat="1" ht="15.75" customHeight="1" x14ac:dyDescent="0.35">
      <c r="D422" s="40"/>
      <c r="E422" s="34"/>
      <c r="F422" s="34"/>
      <c r="G422" s="34"/>
      <c r="H422" s="34"/>
      <c r="I422" s="34"/>
      <c r="J422" s="39"/>
      <c r="K422" s="34"/>
      <c r="L422" s="34"/>
      <c r="M422" s="34"/>
      <c r="N422" s="34"/>
      <c r="O422" s="34"/>
      <c r="P422" s="39"/>
      <c r="R422" s="40"/>
      <c r="S422" s="40"/>
      <c r="T422" s="40"/>
      <c r="U422" s="40"/>
    </row>
    <row r="423" spans="4:21" s="37" customFormat="1" ht="15.75" customHeight="1" x14ac:dyDescent="0.35">
      <c r="D423" s="40"/>
      <c r="E423" s="34"/>
      <c r="F423" s="34"/>
      <c r="G423" s="34"/>
      <c r="H423" s="34"/>
      <c r="I423" s="34"/>
      <c r="J423" s="39"/>
      <c r="K423" s="34"/>
      <c r="L423" s="34"/>
      <c r="M423" s="34"/>
      <c r="N423" s="34"/>
      <c r="O423" s="34"/>
      <c r="P423" s="39"/>
      <c r="R423" s="40"/>
      <c r="S423" s="40"/>
      <c r="T423" s="40"/>
      <c r="U423" s="40"/>
    </row>
    <row r="424" spans="4:21" s="37" customFormat="1" ht="15.75" customHeight="1" x14ac:dyDescent="0.35">
      <c r="D424" s="40"/>
      <c r="E424" s="34"/>
      <c r="F424" s="34"/>
      <c r="G424" s="34"/>
      <c r="H424" s="34"/>
      <c r="I424" s="34"/>
      <c r="J424" s="39"/>
      <c r="K424" s="34"/>
      <c r="L424" s="34"/>
      <c r="M424" s="34"/>
      <c r="N424" s="34"/>
      <c r="O424" s="34"/>
      <c r="P424" s="39"/>
      <c r="R424" s="40"/>
      <c r="S424" s="40"/>
      <c r="T424" s="40"/>
      <c r="U424" s="40"/>
    </row>
    <row r="425" spans="4:21" s="37" customFormat="1" ht="15.75" customHeight="1" x14ac:dyDescent="0.35">
      <c r="D425" s="40"/>
      <c r="E425" s="34"/>
      <c r="F425" s="34"/>
      <c r="G425" s="34"/>
      <c r="H425" s="34"/>
      <c r="I425" s="34"/>
      <c r="J425" s="39"/>
      <c r="K425" s="34"/>
      <c r="L425" s="34"/>
      <c r="M425" s="34"/>
      <c r="N425" s="34"/>
      <c r="O425" s="34"/>
      <c r="P425" s="39"/>
      <c r="R425" s="40"/>
      <c r="S425" s="40"/>
      <c r="T425" s="40"/>
      <c r="U425" s="40"/>
    </row>
    <row r="426" spans="4:21" s="37" customFormat="1" ht="15.75" customHeight="1" x14ac:dyDescent="0.35">
      <c r="D426" s="40"/>
      <c r="E426" s="34"/>
      <c r="F426" s="34"/>
      <c r="G426" s="34"/>
      <c r="H426" s="34"/>
      <c r="I426" s="34"/>
      <c r="J426" s="39"/>
      <c r="K426" s="34"/>
      <c r="L426" s="34"/>
      <c r="M426" s="34"/>
      <c r="N426" s="34"/>
      <c r="O426" s="34"/>
      <c r="P426" s="39"/>
      <c r="R426" s="40"/>
      <c r="S426" s="40"/>
      <c r="T426" s="40"/>
      <c r="U426" s="40"/>
    </row>
    <row r="427" spans="4:21" s="37" customFormat="1" ht="15.75" customHeight="1" x14ac:dyDescent="0.35">
      <c r="D427" s="40"/>
      <c r="E427" s="34"/>
      <c r="F427" s="34"/>
      <c r="G427" s="34"/>
      <c r="H427" s="34"/>
      <c r="I427" s="34"/>
      <c r="J427" s="39"/>
      <c r="K427" s="34"/>
      <c r="L427" s="34"/>
      <c r="M427" s="34"/>
      <c r="N427" s="34"/>
      <c r="O427" s="34"/>
      <c r="P427" s="39"/>
      <c r="R427" s="40"/>
      <c r="S427" s="40"/>
      <c r="T427" s="40"/>
      <c r="U427" s="40"/>
    </row>
    <row r="428" spans="4:21" s="37" customFormat="1" ht="15.75" customHeight="1" x14ac:dyDescent="0.35">
      <c r="D428" s="40"/>
      <c r="E428" s="34"/>
      <c r="F428" s="34"/>
      <c r="G428" s="34"/>
      <c r="H428" s="34"/>
      <c r="I428" s="34"/>
      <c r="J428" s="39"/>
      <c r="K428" s="34"/>
      <c r="L428" s="34"/>
      <c r="M428" s="34"/>
      <c r="N428" s="34"/>
      <c r="O428" s="34"/>
      <c r="P428" s="39"/>
      <c r="R428" s="40"/>
      <c r="S428" s="40"/>
      <c r="T428" s="40"/>
      <c r="U428" s="40"/>
    </row>
    <row r="429" spans="4:21" s="37" customFormat="1" ht="15.75" customHeight="1" x14ac:dyDescent="0.35">
      <c r="D429" s="40"/>
      <c r="E429" s="34"/>
      <c r="F429" s="34"/>
      <c r="G429" s="34"/>
      <c r="H429" s="34"/>
      <c r="I429" s="34"/>
      <c r="J429" s="39"/>
      <c r="K429" s="34"/>
      <c r="L429" s="34"/>
      <c r="M429" s="34"/>
      <c r="N429" s="34"/>
      <c r="O429" s="34"/>
      <c r="P429" s="39"/>
      <c r="R429" s="40"/>
      <c r="S429" s="40"/>
      <c r="T429" s="40"/>
      <c r="U429" s="40"/>
    </row>
    <row r="430" spans="4:21" s="37" customFormat="1" ht="15.75" customHeight="1" x14ac:dyDescent="0.35">
      <c r="D430" s="40"/>
      <c r="E430" s="34"/>
      <c r="F430" s="34"/>
      <c r="G430" s="34"/>
      <c r="H430" s="34"/>
      <c r="I430" s="34"/>
      <c r="J430" s="39"/>
      <c r="K430" s="34"/>
      <c r="L430" s="34"/>
      <c r="M430" s="34"/>
      <c r="N430" s="34"/>
      <c r="O430" s="34"/>
      <c r="P430" s="39"/>
      <c r="R430" s="40"/>
      <c r="S430" s="40"/>
      <c r="T430" s="40"/>
      <c r="U430" s="40"/>
    </row>
    <row r="431" spans="4:21" s="37" customFormat="1" ht="15.75" customHeight="1" x14ac:dyDescent="0.35">
      <c r="D431" s="40"/>
      <c r="E431" s="34"/>
      <c r="F431" s="34"/>
      <c r="G431" s="34"/>
      <c r="H431" s="34"/>
      <c r="I431" s="34"/>
      <c r="J431" s="39"/>
      <c r="K431" s="34"/>
      <c r="L431" s="34"/>
      <c r="M431" s="34"/>
      <c r="N431" s="34"/>
      <c r="O431" s="34"/>
      <c r="P431" s="39"/>
      <c r="R431" s="40"/>
      <c r="S431" s="40"/>
      <c r="T431" s="40"/>
      <c r="U431" s="40"/>
    </row>
    <row r="432" spans="4:21" s="37" customFormat="1" ht="15.75" customHeight="1" x14ac:dyDescent="0.35">
      <c r="D432" s="40"/>
      <c r="E432" s="34"/>
      <c r="F432" s="34"/>
      <c r="G432" s="34"/>
      <c r="H432" s="34"/>
      <c r="I432" s="34"/>
      <c r="J432" s="39"/>
      <c r="K432" s="34"/>
      <c r="L432" s="34"/>
      <c r="M432" s="34"/>
      <c r="N432" s="34"/>
      <c r="O432" s="34"/>
      <c r="P432" s="39"/>
      <c r="R432" s="40"/>
      <c r="S432" s="40"/>
      <c r="T432" s="40"/>
      <c r="U432" s="40"/>
    </row>
    <row r="433" spans="4:21" s="37" customFormat="1" ht="15.75" customHeight="1" x14ac:dyDescent="0.35">
      <c r="D433" s="40"/>
      <c r="E433" s="34"/>
      <c r="F433" s="34"/>
      <c r="G433" s="34"/>
      <c r="H433" s="34"/>
      <c r="I433" s="34"/>
      <c r="J433" s="39"/>
      <c r="K433" s="34"/>
      <c r="L433" s="34"/>
      <c r="M433" s="34"/>
      <c r="N433" s="34"/>
      <c r="O433" s="34"/>
      <c r="P433" s="39"/>
      <c r="R433" s="40"/>
      <c r="S433" s="40"/>
      <c r="T433" s="40"/>
      <c r="U433" s="40"/>
    </row>
    <row r="434" spans="4:21" s="37" customFormat="1" ht="15.75" customHeight="1" x14ac:dyDescent="0.35">
      <c r="D434" s="40"/>
      <c r="E434" s="34"/>
      <c r="F434" s="34"/>
      <c r="G434" s="34"/>
      <c r="H434" s="34"/>
      <c r="I434" s="34"/>
      <c r="J434" s="39"/>
      <c r="K434" s="34"/>
      <c r="L434" s="34"/>
      <c r="M434" s="34"/>
      <c r="N434" s="34"/>
      <c r="O434" s="34"/>
      <c r="P434" s="39"/>
      <c r="R434" s="40"/>
      <c r="S434" s="40"/>
      <c r="T434" s="40"/>
      <c r="U434" s="40"/>
    </row>
    <row r="435" spans="4:21" s="37" customFormat="1" ht="15.75" customHeight="1" x14ac:dyDescent="0.35">
      <c r="D435" s="40"/>
      <c r="E435" s="34"/>
      <c r="F435" s="34"/>
      <c r="G435" s="34"/>
      <c r="H435" s="34"/>
      <c r="I435" s="34"/>
      <c r="J435" s="39"/>
      <c r="K435" s="34"/>
      <c r="L435" s="34"/>
      <c r="M435" s="34"/>
      <c r="N435" s="34"/>
      <c r="O435" s="34"/>
      <c r="P435" s="39"/>
      <c r="R435" s="40"/>
      <c r="S435" s="40"/>
      <c r="T435" s="40"/>
      <c r="U435" s="40"/>
    </row>
    <row r="436" spans="4:21" s="37" customFormat="1" ht="15.75" customHeight="1" x14ac:dyDescent="0.35">
      <c r="D436" s="40"/>
      <c r="E436" s="34"/>
      <c r="F436" s="34"/>
      <c r="G436" s="34"/>
      <c r="H436" s="34"/>
      <c r="I436" s="34"/>
      <c r="J436" s="39"/>
      <c r="K436" s="34"/>
      <c r="L436" s="34"/>
      <c r="M436" s="34"/>
      <c r="N436" s="34"/>
      <c r="O436" s="34"/>
      <c r="P436" s="39"/>
      <c r="R436" s="40"/>
      <c r="S436" s="40"/>
      <c r="T436" s="40"/>
      <c r="U436" s="40"/>
    </row>
    <row r="437" spans="4:21" s="37" customFormat="1" ht="15.75" customHeight="1" x14ac:dyDescent="0.35">
      <c r="D437" s="40"/>
      <c r="E437" s="34"/>
      <c r="F437" s="34"/>
      <c r="G437" s="34"/>
      <c r="H437" s="34"/>
      <c r="I437" s="34"/>
      <c r="J437" s="39"/>
      <c r="K437" s="34"/>
      <c r="L437" s="34"/>
      <c r="M437" s="34"/>
      <c r="N437" s="34"/>
      <c r="O437" s="34"/>
      <c r="P437" s="39"/>
      <c r="R437" s="40"/>
      <c r="S437" s="40"/>
      <c r="T437" s="40"/>
      <c r="U437" s="40"/>
    </row>
    <row r="438" spans="4:21" s="37" customFormat="1" ht="15.75" customHeight="1" x14ac:dyDescent="0.35">
      <c r="D438" s="40"/>
      <c r="E438" s="34"/>
      <c r="F438" s="34"/>
      <c r="G438" s="34"/>
      <c r="H438" s="34"/>
      <c r="I438" s="34"/>
      <c r="J438" s="39"/>
      <c r="K438" s="34"/>
      <c r="L438" s="34"/>
      <c r="M438" s="34"/>
      <c r="N438" s="34"/>
      <c r="O438" s="34"/>
      <c r="P438" s="39"/>
      <c r="R438" s="40"/>
      <c r="S438" s="40"/>
      <c r="T438" s="40"/>
      <c r="U438" s="40"/>
    </row>
    <row r="439" spans="4:21" s="37" customFormat="1" ht="15.75" customHeight="1" x14ac:dyDescent="0.35">
      <c r="D439" s="40"/>
      <c r="E439" s="34"/>
      <c r="F439" s="34"/>
      <c r="G439" s="34"/>
      <c r="H439" s="34"/>
      <c r="I439" s="34"/>
      <c r="J439" s="39"/>
      <c r="K439" s="34"/>
      <c r="L439" s="34"/>
      <c r="M439" s="34"/>
      <c r="N439" s="34"/>
      <c r="O439" s="34"/>
      <c r="P439" s="39"/>
      <c r="R439" s="40"/>
      <c r="S439" s="40"/>
      <c r="T439" s="40"/>
      <c r="U439" s="40"/>
    </row>
    <row r="440" spans="4:21" s="37" customFormat="1" ht="15.75" customHeight="1" x14ac:dyDescent="0.35">
      <c r="D440" s="40"/>
      <c r="E440" s="34"/>
      <c r="F440" s="34"/>
      <c r="G440" s="34"/>
      <c r="H440" s="34"/>
      <c r="I440" s="34"/>
      <c r="J440" s="39"/>
      <c r="K440" s="34"/>
      <c r="L440" s="34"/>
      <c r="M440" s="34"/>
      <c r="N440" s="34"/>
      <c r="O440" s="34"/>
      <c r="P440" s="39"/>
      <c r="R440" s="40"/>
      <c r="S440" s="40"/>
      <c r="T440" s="40"/>
      <c r="U440" s="40"/>
    </row>
    <row r="441" spans="4:21" s="37" customFormat="1" ht="15.75" customHeight="1" x14ac:dyDescent="0.35">
      <c r="D441" s="40"/>
      <c r="E441" s="34"/>
      <c r="F441" s="34"/>
      <c r="G441" s="34"/>
      <c r="H441" s="34"/>
      <c r="I441" s="34"/>
      <c r="J441" s="39"/>
      <c r="K441" s="34"/>
      <c r="L441" s="34"/>
      <c r="M441" s="34"/>
      <c r="N441" s="34"/>
      <c r="O441" s="34"/>
      <c r="P441" s="39"/>
      <c r="R441" s="40"/>
      <c r="S441" s="40"/>
      <c r="T441" s="40"/>
      <c r="U441" s="40"/>
    </row>
    <row r="442" spans="4:21" s="37" customFormat="1" ht="15.75" customHeight="1" x14ac:dyDescent="0.35">
      <c r="D442" s="40"/>
      <c r="E442" s="34"/>
      <c r="F442" s="34"/>
      <c r="G442" s="34"/>
      <c r="H442" s="34"/>
      <c r="I442" s="34"/>
      <c r="J442" s="39"/>
      <c r="K442" s="34"/>
      <c r="L442" s="34"/>
      <c r="M442" s="34"/>
      <c r="N442" s="34"/>
      <c r="O442" s="34"/>
      <c r="P442" s="39"/>
      <c r="R442" s="40"/>
      <c r="S442" s="40"/>
      <c r="T442" s="40"/>
      <c r="U442" s="40"/>
    </row>
    <row r="443" spans="4:21" s="37" customFormat="1" ht="15.75" customHeight="1" x14ac:dyDescent="0.35">
      <c r="D443" s="40"/>
      <c r="E443" s="34"/>
      <c r="F443" s="34"/>
      <c r="G443" s="34"/>
      <c r="H443" s="34"/>
      <c r="I443" s="34"/>
      <c r="J443" s="39"/>
      <c r="K443" s="34"/>
      <c r="L443" s="34"/>
      <c r="M443" s="34"/>
      <c r="N443" s="34"/>
      <c r="O443" s="34"/>
      <c r="P443" s="39"/>
      <c r="R443" s="40"/>
      <c r="S443" s="40"/>
      <c r="T443" s="40"/>
      <c r="U443" s="40"/>
    </row>
    <row r="444" spans="4:21" s="37" customFormat="1" ht="15.75" customHeight="1" x14ac:dyDescent="0.35">
      <c r="D444" s="40"/>
      <c r="E444" s="34"/>
      <c r="F444" s="34"/>
      <c r="G444" s="34"/>
      <c r="H444" s="34"/>
      <c r="I444" s="34"/>
      <c r="J444" s="39"/>
      <c r="K444" s="34"/>
      <c r="L444" s="34"/>
      <c r="M444" s="34"/>
      <c r="N444" s="34"/>
      <c r="O444" s="34"/>
      <c r="P444" s="39"/>
      <c r="R444" s="40"/>
      <c r="S444" s="40"/>
      <c r="T444" s="40"/>
      <c r="U444" s="40"/>
    </row>
    <row r="445" spans="4:21" s="37" customFormat="1" ht="15.75" customHeight="1" x14ac:dyDescent="0.35">
      <c r="D445" s="40"/>
      <c r="E445" s="34"/>
      <c r="F445" s="34"/>
      <c r="G445" s="34"/>
      <c r="H445" s="34"/>
      <c r="I445" s="34"/>
      <c r="J445" s="39"/>
      <c r="K445" s="34"/>
      <c r="L445" s="34"/>
      <c r="M445" s="34"/>
      <c r="N445" s="34"/>
      <c r="O445" s="34"/>
      <c r="P445" s="39"/>
      <c r="R445" s="40"/>
      <c r="S445" s="40"/>
      <c r="T445" s="40"/>
      <c r="U445" s="40"/>
    </row>
    <row r="446" spans="4:21" s="37" customFormat="1" ht="15.75" customHeight="1" x14ac:dyDescent="0.35">
      <c r="D446" s="40"/>
      <c r="E446" s="34"/>
      <c r="F446" s="34"/>
      <c r="G446" s="34"/>
      <c r="H446" s="34"/>
      <c r="I446" s="34"/>
      <c r="J446" s="39"/>
      <c r="K446" s="34"/>
      <c r="L446" s="34"/>
      <c r="M446" s="34"/>
      <c r="N446" s="34"/>
      <c r="O446" s="34"/>
      <c r="P446" s="39"/>
      <c r="R446" s="40"/>
      <c r="S446" s="40"/>
      <c r="T446" s="40"/>
      <c r="U446" s="40"/>
    </row>
    <row r="447" spans="4:21" s="37" customFormat="1" ht="15.75" customHeight="1" x14ac:dyDescent="0.35">
      <c r="D447" s="40"/>
      <c r="E447" s="34"/>
      <c r="F447" s="34"/>
      <c r="G447" s="34"/>
      <c r="H447" s="34"/>
      <c r="I447" s="34"/>
      <c r="J447" s="39"/>
      <c r="K447" s="34"/>
      <c r="L447" s="34"/>
      <c r="M447" s="34"/>
      <c r="N447" s="34"/>
      <c r="O447" s="34"/>
      <c r="P447" s="39"/>
      <c r="R447" s="40"/>
      <c r="S447" s="40"/>
      <c r="T447" s="40"/>
      <c r="U447" s="40"/>
    </row>
    <row r="448" spans="4:21" s="37" customFormat="1" ht="15.75" customHeight="1" x14ac:dyDescent="0.35">
      <c r="D448" s="40"/>
      <c r="E448" s="34"/>
      <c r="F448" s="34"/>
      <c r="G448" s="34"/>
      <c r="H448" s="34"/>
      <c r="I448" s="34"/>
      <c r="J448" s="39"/>
      <c r="K448" s="34"/>
      <c r="L448" s="34"/>
      <c r="M448" s="34"/>
      <c r="N448" s="34"/>
      <c r="O448" s="34"/>
      <c r="P448" s="39"/>
      <c r="R448" s="40"/>
      <c r="S448" s="40"/>
      <c r="T448" s="40"/>
      <c r="U448" s="40"/>
    </row>
    <row r="449" spans="4:21" s="37" customFormat="1" ht="15.75" customHeight="1" x14ac:dyDescent="0.35">
      <c r="D449" s="40"/>
      <c r="E449" s="34"/>
      <c r="F449" s="34"/>
      <c r="G449" s="34"/>
      <c r="H449" s="34"/>
      <c r="I449" s="34"/>
      <c r="J449" s="39"/>
      <c r="K449" s="34"/>
      <c r="L449" s="34"/>
      <c r="M449" s="34"/>
      <c r="N449" s="34"/>
      <c r="O449" s="34"/>
      <c r="P449" s="39"/>
      <c r="R449" s="40"/>
      <c r="S449" s="40"/>
      <c r="T449" s="40"/>
      <c r="U449" s="40"/>
    </row>
    <row r="450" spans="4:21" s="37" customFormat="1" ht="15.75" customHeight="1" x14ac:dyDescent="0.35">
      <c r="D450" s="40"/>
      <c r="E450" s="34"/>
      <c r="F450" s="34"/>
      <c r="G450" s="34"/>
      <c r="H450" s="34"/>
      <c r="I450" s="34"/>
      <c r="J450" s="39"/>
      <c r="K450" s="34"/>
      <c r="L450" s="34"/>
      <c r="M450" s="34"/>
      <c r="N450" s="34"/>
      <c r="O450" s="34"/>
      <c r="P450" s="39"/>
      <c r="R450" s="40"/>
      <c r="S450" s="40"/>
      <c r="T450" s="40"/>
      <c r="U450" s="40"/>
    </row>
    <row r="451" spans="4:21" s="37" customFormat="1" ht="15.75" customHeight="1" x14ac:dyDescent="0.35">
      <c r="D451" s="40"/>
      <c r="E451" s="34"/>
      <c r="F451" s="34"/>
      <c r="G451" s="34"/>
      <c r="H451" s="34"/>
      <c r="I451" s="34"/>
      <c r="J451" s="39"/>
      <c r="K451" s="34"/>
      <c r="L451" s="34"/>
      <c r="M451" s="34"/>
      <c r="N451" s="34"/>
      <c r="O451" s="34"/>
      <c r="P451" s="39"/>
      <c r="R451" s="40"/>
      <c r="S451" s="40"/>
      <c r="T451" s="40"/>
      <c r="U451" s="40"/>
    </row>
    <row r="452" spans="4:21" s="37" customFormat="1" ht="15.75" customHeight="1" x14ac:dyDescent="0.35">
      <c r="D452" s="40"/>
      <c r="E452" s="34"/>
      <c r="F452" s="34"/>
      <c r="G452" s="34"/>
      <c r="H452" s="34"/>
      <c r="I452" s="34"/>
      <c r="J452" s="39"/>
      <c r="K452" s="34"/>
      <c r="L452" s="34"/>
      <c r="M452" s="34"/>
      <c r="N452" s="34"/>
      <c r="O452" s="34"/>
      <c r="P452" s="39"/>
      <c r="R452" s="40"/>
      <c r="S452" s="40"/>
      <c r="T452" s="40"/>
      <c r="U452" s="40"/>
    </row>
    <row r="453" spans="4:21" s="37" customFormat="1" ht="15.75" customHeight="1" x14ac:dyDescent="0.35">
      <c r="D453" s="40"/>
      <c r="E453" s="34"/>
      <c r="F453" s="34"/>
      <c r="G453" s="34"/>
      <c r="H453" s="34"/>
      <c r="I453" s="34"/>
      <c r="J453" s="39"/>
      <c r="K453" s="34"/>
      <c r="L453" s="34"/>
      <c r="M453" s="34"/>
      <c r="N453" s="34"/>
      <c r="O453" s="34"/>
      <c r="P453" s="39"/>
      <c r="R453" s="40"/>
      <c r="S453" s="40"/>
      <c r="T453" s="40"/>
      <c r="U453" s="40"/>
    </row>
    <row r="454" spans="4:21" s="37" customFormat="1" ht="15.75" customHeight="1" x14ac:dyDescent="0.35">
      <c r="D454" s="40"/>
      <c r="E454" s="34"/>
      <c r="F454" s="34"/>
      <c r="G454" s="34"/>
      <c r="H454" s="34"/>
      <c r="I454" s="34"/>
      <c r="J454" s="39"/>
      <c r="K454" s="34"/>
      <c r="L454" s="34"/>
      <c r="M454" s="34"/>
      <c r="N454" s="34"/>
      <c r="O454" s="34"/>
      <c r="P454" s="39"/>
      <c r="R454" s="40"/>
      <c r="S454" s="40"/>
      <c r="T454" s="40"/>
      <c r="U454" s="40"/>
    </row>
    <row r="455" spans="4:21" s="37" customFormat="1" ht="15.75" customHeight="1" x14ac:dyDescent="0.35">
      <c r="D455" s="40"/>
      <c r="E455" s="34"/>
      <c r="F455" s="34"/>
      <c r="G455" s="34"/>
      <c r="H455" s="34"/>
      <c r="I455" s="34"/>
      <c r="J455" s="39"/>
      <c r="K455" s="34"/>
      <c r="L455" s="34"/>
      <c r="M455" s="34"/>
      <c r="N455" s="34"/>
      <c r="O455" s="34"/>
      <c r="P455" s="39"/>
      <c r="R455" s="40"/>
      <c r="S455" s="40"/>
      <c r="T455" s="40"/>
      <c r="U455" s="40"/>
    </row>
    <row r="456" spans="4:21" s="37" customFormat="1" ht="15.75" customHeight="1" x14ac:dyDescent="0.35">
      <c r="D456" s="40"/>
      <c r="E456" s="34"/>
      <c r="F456" s="34"/>
      <c r="G456" s="34"/>
      <c r="H456" s="34"/>
      <c r="I456" s="34"/>
      <c r="J456" s="39"/>
      <c r="K456" s="34"/>
      <c r="L456" s="34"/>
      <c r="M456" s="34"/>
      <c r="N456" s="34"/>
      <c r="O456" s="34"/>
      <c r="P456" s="39"/>
      <c r="R456" s="40"/>
      <c r="S456" s="40"/>
      <c r="T456" s="40"/>
      <c r="U456" s="40"/>
    </row>
    <row r="457" spans="4:21" s="37" customFormat="1" ht="15.75" customHeight="1" x14ac:dyDescent="0.35">
      <c r="D457" s="40"/>
      <c r="E457" s="34"/>
      <c r="F457" s="34"/>
      <c r="G457" s="34"/>
      <c r="H457" s="34"/>
      <c r="I457" s="34"/>
      <c r="J457" s="39"/>
      <c r="K457" s="34"/>
      <c r="L457" s="34"/>
      <c r="M457" s="34"/>
      <c r="N457" s="34"/>
      <c r="O457" s="34"/>
      <c r="P457" s="39"/>
      <c r="R457" s="40"/>
      <c r="S457" s="40"/>
      <c r="T457" s="40"/>
      <c r="U457" s="40"/>
    </row>
    <row r="458" spans="4:21" s="37" customFormat="1" ht="15.75" customHeight="1" x14ac:dyDescent="0.35">
      <c r="D458" s="40"/>
      <c r="E458" s="34"/>
      <c r="F458" s="34"/>
      <c r="G458" s="34"/>
      <c r="H458" s="34"/>
      <c r="I458" s="34"/>
      <c r="J458" s="39"/>
      <c r="K458" s="34"/>
      <c r="L458" s="34"/>
      <c r="M458" s="34"/>
      <c r="N458" s="34"/>
      <c r="O458" s="34"/>
      <c r="P458" s="39"/>
      <c r="R458" s="40"/>
      <c r="S458" s="40"/>
      <c r="T458" s="40"/>
      <c r="U458" s="40"/>
    </row>
    <row r="459" spans="4:21" s="37" customFormat="1" ht="15.75" customHeight="1" x14ac:dyDescent="0.35">
      <c r="D459" s="40"/>
      <c r="E459" s="34"/>
      <c r="F459" s="34"/>
      <c r="G459" s="34"/>
      <c r="H459" s="34"/>
      <c r="I459" s="34"/>
      <c r="J459" s="39"/>
      <c r="K459" s="34"/>
      <c r="L459" s="34"/>
      <c r="M459" s="34"/>
      <c r="N459" s="34"/>
      <c r="O459" s="34"/>
      <c r="P459" s="39"/>
      <c r="R459" s="40"/>
      <c r="S459" s="40"/>
      <c r="T459" s="40"/>
      <c r="U459" s="40"/>
    </row>
    <row r="460" spans="4:21" s="37" customFormat="1" ht="15.75" customHeight="1" x14ac:dyDescent="0.35">
      <c r="D460" s="40"/>
      <c r="E460" s="34"/>
      <c r="F460" s="34"/>
      <c r="G460" s="34"/>
      <c r="H460" s="34"/>
      <c r="I460" s="34"/>
      <c r="J460" s="39"/>
      <c r="K460" s="34"/>
      <c r="L460" s="34"/>
      <c r="M460" s="34"/>
      <c r="N460" s="34"/>
      <c r="O460" s="34"/>
      <c r="P460" s="39"/>
      <c r="R460" s="40"/>
      <c r="S460" s="40"/>
      <c r="T460" s="40"/>
      <c r="U460" s="40"/>
    </row>
    <row r="461" spans="4:21" s="37" customFormat="1" ht="15.75" customHeight="1" x14ac:dyDescent="0.35">
      <c r="D461" s="40"/>
      <c r="E461" s="34"/>
      <c r="F461" s="34"/>
      <c r="G461" s="34"/>
      <c r="H461" s="34"/>
      <c r="I461" s="34"/>
      <c r="J461" s="39"/>
      <c r="K461" s="34"/>
      <c r="L461" s="34"/>
      <c r="M461" s="34"/>
      <c r="N461" s="34"/>
      <c r="O461" s="34"/>
      <c r="P461" s="39"/>
      <c r="R461" s="40"/>
      <c r="S461" s="40"/>
      <c r="T461" s="40"/>
      <c r="U461" s="40"/>
    </row>
    <row r="462" spans="4:21" s="37" customFormat="1" ht="15.75" customHeight="1" x14ac:dyDescent="0.35">
      <c r="D462" s="40"/>
      <c r="E462" s="34"/>
      <c r="F462" s="34"/>
      <c r="G462" s="34"/>
      <c r="H462" s="34"/>
      <c r="I462" s="34"/>
      <c r="J462" s="39"/>
      <c r="K462" s="34"/>
      <c r="L462" s="34"/>
      <c r="M462" s="34"/>
      <c r="N462" s="34"/>
      <c r="O462" s="34"/>
      <c r="P462" s="39"/>
      <c r="R462" s="40"/>
      <c r="S462" s="40"/>
      <c r="T462" s="40"/>
      <c r="U462" s="40"/>
    </row>
    <row r="463" spans="4:21" s="37" customFormat="1" ht="15.75" customHeight="1" x14ac:dyDescent="0.35">
      <c r="D463" s="40"/>
      <c r="E463" s="34"/>
      <c r="F463" s="34"/>
      <c r="G463" s="34"/>
      <c r="H463" s="34"/>
      <c r="I463" s="34"/>
      <c r="J463" s="39"/>
      <c r="K463" s="34"/>
      <c r="L463" s="34"/>
      <c r="M463" s="34"/>
      <c r="N463" s="34"/>
      <c r="O463" s="34"/>
      <c r="P463" s="39"/>
      <c r="R463" s="40"/>
      <c r="S463" s="40"/>
      <c r="T463" s="40"/>
      <c r="U463" s="40"/>
    </row>
    <row r="464" spans="4:21" s="37" customFormat="1" ht="15.75" customHeight="1" x14ac:dyDescent="0.35">
      <c r="D464" s="40"/>
      <c r="E464" s="34"/>
      <c r="F464" s="34"/>
      <c r="G464" s="34"/>
      <c r="H464" s="34"/>
      <c r="I464" s="34"/>
      <c r="J464" s="39"/>
      <c r="K464" s="34"/>
      <c r="L464" s="34"/>
      <c r="M464" s="34"/>
      <c r="N464" s="34"/>
      <c r="O464" s="34"/>
      <c r="P464" s="39"/>
      <c r="R464" s="40"/>
      <c r="S464" s="40"/>
      <c r="T464" s="40"/>
      <c r="U464" s="40"/>
    </row>
    <row r="465" spans="4:21" s="37" customFormat="1" ht="16.95" customHeight="1" x14ac:dyDescent="0.35">
      <c r="D465" s="40"/>
      <c r="E465" s="34"/>
      <c r="F465" s="34"/>
      <c r="G465" s="34"/>
      <c r="H465" s="34"/>
      <c r="I465" s="34"/>
      <c r="J465" s="39"/>
      <c r="K465" s="34"/>
      <c r="L465" s="34"/>
      <c r="M465" s="34"/>
      <c r="N465" s="34"/>
      <c r="O465" s="34"/>
      <c r="P465" s="39"/>
      <c r="R465" s="40"/>
      <c r="S465" s="40"/>
      <c r="T465" s="40"/>
      <c r="U465" s="40"/>
    </row>
    <row r="466" spans="4:21" ht="15.75" customHeight="1" x14ac:dyDescent="0.35"/>
    <row r="467" spans="4:21" ht="15.75" customHeight="1" x14ac:dyDescent="0.35"/>
    <row r="468" spans="4:21" ht="15.75" customHeight="1" x14ac:dyDescent="0.35"/>
    <row r="469" spans="4:21" ht="15.75" customHeight="1" x14ac:dyDescent="0.35"/>
    <row r="470" spans="4:21" ht="15.75" customHeight="1" x14ac:dyDescent="0.35"/>
    <row r="471" spans="4:21" ht="15.75" customHeight="1" x14ac:dyDescent="0.35"/>
    <row r="472" spans="4:21" ht="15.75" customHeight="1" x14ac:dyDescent="0.35"/>
    <row r="473" spans="4:21" ht="15.75" customHeight="1" x14ac:dyDescent="0.35"/>
    <row r="474" spans="4:21" ht="15.75" customHeight="1" x14ac:dyDescent="0.35"/>
    <row r="475" spans="4:21" ht="15.75" customHeight="1" x14ac:dyDescent="0.35"/>
    <row r="476" spans="4:21" ht="15.75" customHeight="1" x14ac:dyDescent="0.35"/>
    <row r="477" spans="4:21" ht="15.75" customHeight="1" x14ac:dyDescent="0.35"/>
    <row r="478" spans="4:21" ht="15.75" customHeight="1" x14ac:dyDescent="0.35"/>
    <row r="479" spans="4:21" ht="15.75" customHeight="1" x14ac:dyDescent="0.35"/>
    <row r="480" spans="4:21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</sheetData>
  <sheetProtection sheet="1" selectLockedCells="0" selectUnlockedCells="0"/>
  <mergeCells count="109">
    <mergeCell ref="K9:O9"/>
    <mergeCell ref="K10:O10"/>
    <mergeCell ref="K42:P42"/>
    <mergeCell ref="E30:I30"/>
    <mergeCell ref="E41:I41"/>
    <mergeCell ref="E43:I43"/>
    <mergeCell ref="E32:I32"/>
    <mergeCell ref="Q38:U38"/>
    <mergeCell ref="K29:O29"/>
    <mergeCell ref="E28:I28"/>
    <mergeCell ref="E29:I29"/>
    <mergeCell ref="K30:O30"/>
    <mergeCell ref="E39:I39"/>
    <mergeCell ref="E40:I40"/>
    <mergeCell ref="D37:I37"/>
    <mergeCell ref="E38:I38"/>
    <mergeCell ref="Q43:U43"/>
    <mergeCell ref="K13:O13"/>
    <mergeCell ref="E11:I11"/>
    <mergeCell ref="O3:O4"/>
    <mergeCell ref="K5:O5"/>
    <mergeCell ref="E27:I27"/>
    <mergeCell ref="K37:P37"/>
    <mergeCell ref="E36:I36"/>
    <mergeCell ref="Q17:U17"/>
    <mergeCell ref="Q32:U32"/>
    <mergeCell ref="K15:O15"/>
    <mergeCell ref="K20:O20"/>
    <mergeCell ref="K32:O32"/>
    <mergeCell ref="E18:I18"/>
    <mergeCell ref="E15:I15"/>
    <mergeCell ref="K25:O25"/>
    <mergeCell ref="K18:O18"/>
    <mergeCell ref="K19:O19"/>
    <mergeCell ref="E34:I34"/>
    <mergeCell ref="K16:P16"/>
    <mergeCell ref="E12:I12"/>
    <mergeCell ref="E14:I14"/>
    <mergeCell ref="K6:O6"/>
    <mergeCell ref="K7:O7"/>
    <mergeCell ref="K8:O8"/>
    <mergeCell ref="I3:I4"/>
    <mergeCell ref="E35:I35"/>
    <mergeCell ref="E45:I45"/>
    <mergeCell ref="E2:I2"/>
    <mergeCell ref="K2:O2"/>
    <mergeCell ref="K45:O45"/>
    <mergeCell ref="K46:O46"/>
    <mergeCell ref="K39:O39"/>
    <mergeCell ref="K40:O40"/>
    <mergeCell ref="K11:O11"/>
    <mergeCell ref="K27:O27"/>
    <mergeCell ref="K28:O28"/>
    <mergeCell ref="K41:O41"/>
    <mergeCell ref="K43:O43"/>
    <mergeCell ref="K44:O44"/>
    <mergeCell ref="K33:O33"/>
    <mergeCell ref="K34:O34"/>
    <mergeCell ref="K35:O35"/>
    <mergeCell ref="K36:O36"/>
    <mergeCell ref="K38:O38"/>
    <mergeCell ref="K17:O17"/>
    <mergeCell ref="E5:I5"/>
    <mergeCell ref="K12:O12"/>
    <mergeCell ref="K14:O14"/>
    <mergeCell ref="B27:B30"/>
    <mergeCell ref="B6:C9"/>
    <mergeCell ref="B11:C15"/>
    <mergeCell ref="E50:I50"/>
    <mergeCell ref="E16:I16"/>
    <mergeCell ref="E21:I21"/>
    <mergeCell ref="E26:I26"/>
    <mergeCell ref="E31:I31"/>
    <mergeCell ref="E42:I42"/>
    <mergeCell ref="E6:I6"/>
    <mergeCell ref="E7:I7"/>
    <mergeCell ref="E8:I8"/>
    <mergeCell ref="E9:I9"/>
    <mergeCell ref="E10:I10"/>
    <mergeCell ref="E17:I17"/>
    <mergeCell ref="E46:I46"/>
    <mergeCell ref="E19:I19"/>
    <mergeCell ref="E20:I20"/>
    <mergeCell ref="E44:I44"/>
    <mergeCell ref="E13:I13"/>
    <mergeCell ref="K47:P47"/>
    <mergeCell ref="Q4:U4"/>
    <mergeCell ref="B17:C20"/>
    <mergeCell ref="B22:C25"/>
    <mergeCell ref="B32:C36"/>
    <mergeCell ref="B38:C41"/>
    <mergeCell ref="B43:C46"/>
    <mergeCell ref="C27:C30"/>
    <mergeCell ref="Q6:U6"/>
    <mergeCell ref="K21:O21"/>
    <mergeCell ref="K26:O26"/>
    <mergeCell ref="K31:O31"/>
    <mergeCell ref="Q11:U11"/>
    <mergeCell ref="Q22:U22"/>
    <mergeCell ref="Q27:U27"/>
    <mergeCell ref="E33:I33"/>
    <mergeCell ref="E22:I22"/>
    <mergeCell ref="K22:O22"/>
    <mergeCell ref="E23:I23"/>
    <mergeCell ref="K23:O23"/>
    <mergeCell ref="E24:I24"/>
    <mergeCell ref="K24:O24"/>
    <mergeCell ref="E25:I25"/>
    <mergeCell ref="B2:D4"/>
  </mergeCells>
  <phoneticPr fontId="7"/>
  <conditionalFormatting sqref="E3">
    <cfRule type="expression" dxfId="53" priority="58">
      <formula>$E$11 &gt; 12</formula>
    </cfRule>
    <cfRule type="expression" dxfId="52" priority="68">
      <formula>$E$11&lt;7</formula>
    </cfRule>
    <cfRule type="expression" dxfId="51" priority="66">
      <formula>$E$11 &gt;6</formula>
    </cfRule>
  </conditionalFormatting>
  <conditionalFormatting sqref="E4">
    <cfRule type="expression" dxfId="50" priority="62">
      <formula>$E$43 &gt; 11</formula>
    </cfRule>
    <cfRule type="expression" dxfId="49" priority="75">
      <formula>$E$43&lt;7</formula>
    </cfRule>
    <cfRule type="expression" dxfId="48" priority="74">
      <formula>$E$43 &gt;6</formula>
    </cfRule>
  </conditionalFormatting>
  <conditionalFormatting sqref="F3">
    <cfRule type="expression" dxfId="47" priority="59">
      <formula>$E$17 &gt; 12</formula>
    </cfRule>
    <cfRule type="expression" dxfId="46" priority="70">
      <formula>$E$17&lt;7</formula>
    </cfRule>
    <cfRule type="expression" dxfId="45" priority="69">
      <formula>$E$17 &gt;6</formula>
    </cfRule>
  </conditionalFormatting>
  <conditionalFormatting sqref="F4">
    <cfRule type="expression" dxfId="44" priority="63" stopIfTrue="1">
      <formula>$E$6 &gt; 11</formula>
    </cfRule>
    <cfRule type="expression" dxfId="43" priority="77" stopIfTrue="1">
      <formula>$E$6&lt;7</formula>
    </cfRule>
    <cfRule type="expression" dxfId="42" priority="76" stopIfTrue="1">
      <formula>$E$6 &gt;6</formula>
    </cfRule>
  </conditionalFormatting>
  <conditionalFormatting sqref="G3">
    <cfRule type="expression" dxfId="41" priority="60">
      <formula>$E$32 &gt; 12</formula>
    </cfRule>
    <cfRule type="expression" dxfId="40" priority="71">
      <formula>$E$32&lt;7</formula>
    </cfRule>
    <cfRule type="expression" dxfId="39" priority="67">
      <formula>$E$32 &gt;6</formula>
    </cfRule>
  </conditionalFormatting>
  <conditionalFormatting sqref="G4">
    <cfRule type="expression" dxfId="38" priority="79">
      <formula>$E$22 &lt;7</formula>
    </cfRule>
    <cfRule type="expression" dxfId="37" priority="78" stopIfTrue="1">
      <formula>$E$22 &gt;6</formula>
    </cfRule>
    <cfRule type="expression" dxfId="36" priority="64" stopIfTrue="1">
      <formula>$E$22 &gt; 11</formula>
    </cfRule>
  </conditionalFormatting>
  <conditionalFormatting sqref="H3">
    <cfRule type="expression" dxfId="35" priority="61">
      <formula>$E$38 &gt; 12</formula>
    </cfRule>
    <cfRule type="expression" dxfId="34" priority="73">
      <formula>$E$38&lt;7</formula>
    </cfRule>
    <cfRule type="expression" dxfId="33" priority="72">
      <formula>$E$38 &gt;6</formula>
    </cfRule>
  </conditionalFormatting>
  <conditionalFormatting sqref="H4">
    <cfRule type="expression" dxfId="32" priority="87">
      <formula>$E$27&lt;7</formula>
    </cfRule>
    <cfRule type="expression" dxfId="31" priority="85">
      <formula>$E$27 &gt; 11</formula>
    </cfRule>
    <cfRule type="expression" dxfId="30" priority="86">
      <formula>$E$27 &gt;6</formula>
    </cfRule>
  </conditionalFormatting>
  <conditionalFormatting sqref="I3:I4">
    <cfRule type="cellIs" dxfId="29" priority="82" operator="lessThanOrEqual">
      <formula>60</formula>
    </cfRule>
    <cfRule type="cellIs" dxfId="28" priority="83" operator="between">
      <formula>61</formula>
      <formula>99</formula>
    </cfRule>
    <cfRule type="cellIs" dxfId="27" priority="84" operator="equal">
      <formula>100</formula>
    </cfRule>
  </conditionalFormatting>
  <conditionalFormatting sqref="K3">
    <cfRule type="expression" dxfId="26" priority="4">
      <formula>$K$11 &gt; 12</formula>
    </cfRule>
    <cfRule type="expression" dxfId="25" priority="14">
      <formula>$K$11&lt;7</formula>
    </cfRule>
    <cfRule type="expression" dxfId="24" priority="12">
      <formula>$K$11 &gt;6</formula>
    </cfRule>
  </conditionalFormatting>
  <conditionalFormatting sqref="K4">
    <cfRule type="expression" dxfId="23" priority="21">
      <formula>$K$43&lt;7</formula>
    </cfRule>
    <cfRule type="expression" dxfId="22" priority="20">
      <formula>$K$43 &gt;6</formula>
    </cfRule>
    <cfRule type="expression" dxfId="21" priority="8">
      <formula>$K$43 &gt; 11</formula>
    </cfRule>
  </conditionalFormatting>
  <conditionalFormatting sqref="L3">
    <cfRule type="expression" dxfId="20" priority="16">
      <formula>$K$17&lt;7</formula>
    </cfRule>
    <cfRule type="expression" dxfId="19" priority="5">
      <formula>$K$17 &gt; 12</formula>
    </cfRule>
    <cfRule type="expression" dxfId="18" priority="15">
      <formula>$K$17 &gt;6</formula>
    </cfRule>
  </conditionalFormatting>
  <conditionalFormatting sqref="L4">
    <cfRule type="expression" dxfId="17" priority="2">
      <formula>$K$6 &gt;6</formula>
    </cfRule>
    <cfRule type="expression" dxfId="16" priority="3">
      <formula>$K$6&lt;7</formula>
    </cfRule>
    <cfRule type="expression" dxfId="15" priority="1">
      <formula>$K$6 &gt; 11</formula>
    </cfRule>
  </conditionalFormatting>
  <conditionalFormatting sqref="M3">
    <cfRule type="expression" dxfId="14" priority="6">
      <formula>$K$32 &gt; 12</formula>
    </cfRule>
    <cfRule type="expression" dxfId="13" priority="17">
      <formula>$K$32&lt;7</formula>
    </cfRule>
    <cfRule type="expression" dxfId="12" priority="13">
      <formula>$K$32 &gt;6</formula>
    </cfRule>
  </conditionalFormatting>
  <conditionalFormatting sqref="M4">
    <cfRule type="expression" dxfId="11" priority="91" stopIfTrue="1">
      <formula>$K$22 &gt; 11</formula>
    </cfRule>
    <cfRule type="expression" dxfId="10" priority="92" stopIfTrue="1">
      <formula>$K$22 &gt;6</formula>
    </cfRule>
    <cfRule type="expression" dxfId="9" priority="93" stopIfTrue="1">
      <formula>$K$22 &lt;7</formula>
    </cfRule>
  </conditionalFormatting>
  <conditionalFormatting sqref="N3">
    <cfRule type="expression" dxfId="8" priority="19">
      <formula>$K$38&lt;7</formula>
    </cfRule>
    <cfRule type="expression" dxfId="7" priority="18">
      <formula>$K$38 &gt;6</formula>
    </cfRule>
    <cfRule type="expression" dxfId="6" priority="7">
      <formula>$K$38 &gt; 12</formula>
    </cfRule>
  </conditionalFormatting>
  <conditionalFormatting sqref="N4">
    <cfRule type="expression" dxfId="5" priority="88">
      <formula>$K$27 &gt; 11</formula>
    </cfRule>
    <cfRule type="expression" dxfId="4" priority="89">
      <formula>$K$27 &gt;6</formula>
    </cfRule>
    <cfRule type="expression" dxfId="3" priority="90">
      <formula>$K$27&lt;7</formula>
    </cfRule>
  </conditionalFormatting>
  <conditionalFormatting sqref="O3:O4">
    <cfRule type="cellIs" dxfId="2" priority="28" operator="lessThanOrEqual">
      <formula>60</formula>
    </cfRule>
    <cfRule type="cellIs" dxfId="1" priority="30" operator="equal">
      <formula>100</formula>
    </cfRule>
    <cfRule type="cellIs" dxfId="0" priority="29" operator="between">
      <formula>61</formula>
      <formula>99</formula>
    </cfRule>
  </conditionalFormatting>
  <dataValidations count="1">
    <dataValidation type="list" allowBlank="1" sqref="E33:E36 E7:E9 E23:E31 K33:K36 K27:K30 K39:K41 K44:K46 E44:E46 E12:E15 E18:E21 E39:E41 K23:K25 K18:K20 K12:K15 K7:K9" xr:uid="{285809FC-38D7-43DB-90FF-1D4E9AECEF7B}">
      <formula1>"Yes,No"</formula1>
    </dataValidation>
  </dataValidations>
  <pageMargins left="0.25" right="0.25" top="0.75" bottom="0.75" header="0.3" footer="0.3"/>
  <pageSetup scale="3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9844-9CB7-FB44-9148-63C0E749341C}">
  <dimension ref="A1:D10"/>
  <sheetViews>
    <sheetView topLeftCell="A4" zoomScale="200" zoomScaleNormal="100" workbookViewId="0">
      <selection activeCell="A9" sqref="A9:C10"/>
    </sheetView>
  </sheetViews>
  <sheetFormatPr defaultColWidth="10.77734375" defaultRowHeight="13.2" x14ac:dyDescent="0.25"/>
  <cols>
    <col min="1" max="1" width="37.33203125" style="34" customWidth="1"/>
    <col min="2" max="2" width="33" style="34" customWidth="1"/>
    <col min="3" max="3" width="29.77734375" style="34" customWidth="1"/>
    <col min="4" max="4" width="13.21875" style="34" customWidth="1"/>
    <col min="5" max="16384" width="10.77734375" style="34"/>
  </cols>
  <sheetData>
    <row r="1" spans="1:4" ht="15.6" x14ac:dyDescent="0.25">
      <c r="A1" s="146" t="s">
        <v>157</v>
      </c>
      <c r="B1" s="146"/>
      <c r="C1" s="146"/>
    </row>
    <row r="2" spans="1:4" ht="15" x14ac:dyDescent="0.25">
      <c r="A2" s="35" t="s">
        <v>158</v>
      </c>
      <c r="B2" s="142">
        <f>'Opportunity Basic Information'!A3</f>
        <v>0</v>
      </c>
      <c r="C2" s="144"/>
      <c r="D2" s="71" t="s">
        <v>171</v>
      </c>
    </row>
    <row r="3" spans="1:4" ht="30" x14ac:dyDescent="0.25">
      <c r="A3" s="35" t="s">
        <v>163</v>
      </c>
      <c r="B3" s="145"/>
      <c r="C3" s="145"/>
    </row>
    <row r="4" spans="1:4" ht="262.05" customHeight="1" x14ac:dyDescent="0.25">
      <c r="A4" s="35" t="s">
        <v>159</v>
      </c>
      <c r="B4" s="147"/>
      <c r="C4" s="148"/>
    </row>
    <row r="5" spans="1:4" ht="30" x14ac:dyDescent="0.25">
      <c r="A5" s="35" t="s">
        <v>160</v>
      </c>
      <c r="B5" s="145"/>
      <c r="C5" s="145"/>
    </row>
    <row r="6" spans="1:4" ht="15" x14ac:dyDescent="0.25">
      <c r="A6" s="35" t="s">
        <v>161</v>
      </c>
      <c r="B6" s="145">
        <f>'Opportunity Basic Information'!F3</f>
        <v>0</v>
      </c>
      <c r="C6" s="145"/>
      <c r="D6" s="71" t="s">
        <v>171</v>
      </c>
    </row>
    <row r="7" spans="1:4" ht="16.05" customHeight="1" x14ac:dyDescent="0.25">
      <c r="A7" s="146" t="s">
        <v>162</v>
      </c>
      <c r="B7" s="146"/>
      <c r="C7" s="146"/>
    </row>
    <row r="8" spans="1:4" ht="55.05" customHeight="1" x14ac:dyDescent="0.25">
      <c r="A8" s="36" t="s">
        <v>162</v>
      </c>
      <c r="B8" s="145"/>
      <c r="C8" s="145"/>
    </row>
    <row r="9" spans="1:4" ht="24" customHeight="1" x14ac:dyDescent="0.25">
      <c r="A9" s="146" t="s">
        <v>170</v>
      </c>
      <c r="B9" s="146"/>
      <c r="C9" s="146"/>
    </row>
    <row r="10" spans="1:4" ht="40.049999999999997" customHeight="1" x14ac:dyDescent="0.25">
      <c r="A10" s="142"/>
      <c r="B10" s="143"/>
      <c r="C10" s="144"/>
    </row>
  </sheetData>
  <mergeCells count="10">
    <mergeCell ref="A10:C10"/>
    <mergeCell ref="B6:C6"/>
    <mergeCell ref="A9:C9"/>
    <mergeCell ref="A1:C1"/>
    <mergeCell ref="B2:C2"/>
    <mergeCell ref="B3:C3"/>
    <mergeCell ref="A7:C7"/>
    <mergeCell ref="B8:C8"/>
    <mergeCell ref="B4:C4"/>
    <mergeCell ref="B5:C5"/>
  </mergeCells>
  <phoneticPr fontId="11" type="noConversion"/>
  <dataValidations count="1">
    <dataValidation type="list" allowBlank="1" showInputMessage="1" showErrorMessage="1" sqref="C5:C6 C1:C3" xr:uid="{92CB0F8D-B118-BA44-9BB2-39B23B867B9E}">
      <formula1>"GenAI, Migration, Modernization, Migration and Modernization, Others"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Opportunity Basic Information</vt:lpstr>
      <vt:lpstr>评估积分卡 (TC) </vt:lpstr>
      <vt:lpstr>评估积分卡 (SC)</vt:lpstr>
      <vt:lpstr>Scorecard（English）</vt:lpstr>
      <vt:lpstr>Competitive Info</vt:lpstr>
      <vt:lpstr>'Opportunity Basic Information'!Print_Area</vt:lpstr>
      <vt:lpstr>Scorecard（English）!Print_Area</vt:lpstr>
      <vt:lpstr>'评估积分卡 (SC)'!Print_Area</vt:lpstr>
      <vt:lpstr>'评估积分卡 (TC)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Thomson, Griz</dc:creator>
  <cp:lastModifiedBy>Feng, Xue(Sherry)</cp:lastModifiedBy>
  <cp:lastPrinted>2026-03-23T00:36:38Z</cp:lastPrinted>
  <dcterms:created xsi:type="dcterms:W3CDTF">2020-09-01T20:10:41Z</dcterms:created>
  <dcterms:modified xsi:type="dcterms:W3CDTF">2026-05-07T02:34:54Z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9eed6f-34eb-4453-9f97-09510b9b219f_Enabled">
    <vt:lpwstr>true</vt:lpwstr>
  </property>
  <property fmtid="{D5CDD505-2E9C-101B-9397-08002B2CF9AE}" pid="3" name="MSIP_Label_929eed6f-34eb-4453-9f97-09510b9b219f_SetDate">
    <vt:lpwstr>2025-05-12T09:09:01Z</vt:lpwstr>
  </property>
  <property fmtid="{D5CDD505-2E9C-101B-9397-08002B2CF9AE}" pid="4" name="MSIP_Label_929eed6f-34eb-4453-9f97-09510b9b219f_Method">
    <vt:lpwstr>Standard</vt:lpwstr>
  </property>
  <property fmtid="{D5CDD505-2E9C-101B-9397-08002B2CF9AE}" pid="5" name="MSIP_Label_929eed6f-34eb-4453-9f97-09510b9b219f_Name">
    <vt:lpwstr>Amazon Pending_Classification</vt:lpwstr>
  </property>
  <property fmtid="{D5CDD505-2E9C-101B-9397-08002B2CF9AE}" pid="6" name="MSIP_Label_929eed6f-34eb-4453-9f97-09510b9b219f_SiteId">
    <vt:lpwstr>5280104a-472d-4538-9ccf-1e1d0efe8b1b</vt:lpwstr>
  </property>
  <property fmtid="{D5CDD505-2E9C-101B-9397-08002B2CF9AE}" pid="7" name="MSIP_Label_929eed6f-34eb-4453-9f97-09510b9b219f_ActionId">
    <vt:lpwstr>927261ce-693e-497e-998e-b66b4b192d4d</vt:lpwstr>
  </property>
  <property fmtid="{D5CDD505-2E9C-101B-9397-08002B2CF9AE}" pid="8" name="MSIP_Label_929eed6f-34eb-4453-9f97-09510b9b219f_ContentBits">
    <vt:lpwstr>0</vt:lpwstr>
  </property>
  <property fmtid="{D5CDD505-2E9C-101B-9397-08002B2CF9AE}" pid="9" name="MSIP_Label_929eed6f-34eb-4453-9f97-09510b9b219f_Tag">
    <vt:lpwstr>10, 3, 0, 1</vt:lpwstr>
  </property>
</Properties>
</file>