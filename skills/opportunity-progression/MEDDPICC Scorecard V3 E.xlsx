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exue\Desktop\Claude Project\opportunity-progression\"/>
    </mc:Choice>
  </mc:AlternateContent>
  <xr:revisionPtr revIDLastSave="0" documentId="13_ncr:1_{D3956EB1-4B31-4AB8-9A7E-D7C7D7679C8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pportunity Basic Information" sheetId="5" r:id="rId1"/>
    <sheet name="评估积分卡 (TC) " sheetId="8" r:id="rId2"/>
    <sheet name="评估积分卡 (SC)" sheetId="7" r:id="rId3"/>
    <sheet name="Scorecard（English）" sheetId="3" r:id="rId4"/>
    <sheet name="Competitive Info" sheetId="6" r:id="rId5"/>
  </sheets>
  <definedNames>
    <definedName name="_xlnm.Print_Area" localSheetId="0">'Opportunity Basic Information'!$A$7:$G$21</definedName>
    <definedName name="_xlnm.Print_Area" localSheetId="3">'Scorecard（English）'!$B$2:$U$46</definedName>
    <definedName name="_xlnm.Print_Area" localSheetId="2">'评估积分卡 (SC)'!$A$1:$V$47</definedName>
    <definedName name="_xlnm.Print_Area" localSheetId="1">'评估积分卡 (TC) '!$A$1:$V$47</definedName>
    <definedName name="Ro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 a="1"/>
  <c r="H3" i="5" s="1"/>
  <c r="P46" i="8"/>
  <c r="J46" i="8"/>
  <c r="P45" i="8"/>
  <c r="J45" i="8"/>
  <c r="P44" i="8"/>
  <c r="J44" i="8"/>
  <c r="K43" i="8"/>
  <c r="E43" i="8"/>
  <c r="P41" i="8"/>
  <c r="J41" i="8"/>
  <c r="P40" i="8"/>
  <c r="J40" i="8"/>
  <c r="P39" i="8"/>
  <c r="J39" i="8"/>
  <c r="K38" i="8"/>
  <c r="E38" i="8"/>
  <c r="P36" i="8"/>
  <c r="J36" i="8"/>
  <c r="P35" i="8"/>
  <c r="J35" i="8"/>
  <c r="P34" i="8"/>
  <c r="J34" i="8"/>
  <c r="P33" i="8"/>
  <c r="J33" i="8"/>
  <c r="K32" i="8"/>
  <c r="E32" i="8"/>
  <c r="P30" i="8"/>
  <c r="J30" i="8"/>
  <c r="P29" i="8"/>
  <c r="J29" i="8"/>
  <c r="P28" i="8"/>
  <c r="J28" i="8"/>
  <c r="K27" i="8"/>
  <c r="E27" i="8"/>
  <c r="P25" i="8"/>
  <c r="J25" i="8"/>
  <c r="P24" i="8"/>
  <c r="J24" i="8"/>
  <c r="P23" i="8"/>
  <c r="J23" i="8"/>
  <c r="K22" i="8"/>
  <c r="E22" i="8"/>
  <c r="P20" i="8"/>
  <c r="J20" i="8"/>
  <c r="P19" i="8"/>
  <c r="J19" i="8"/>
  <c r="P18" i="8"/>
  <c r="J18" i="8"/>
  <c r="K17" i="8"/>
  <c r="E17" i="8"/>
  <c r="P15" i="8"/>
  <c r="J15" i="8"/>
  <c r="P14" i="8"/>
  <c r="J14" i="8"/>
  <c r="P13" i="8"/>
  <c r="J13" i="8"/>
  <c r="E11" i="8" s="1"/>
  <c r="I3" i="8" s="1"/>
  <c r="P12" i="8"/>
  <c r="J12" i="8"/>
  <c r="K11" i="8"/>
  <c r="O3" i="8" s="1"/>
  <c r="P9" i="8"/>
  <c r="J9" i="8"/>
  <c r="P8" i="8"/>
  <c r="J8" i="8"/>
  <c r="P7" i="8"/>
  <c r="J7" i="8"/>
  <c r="K6" i="8"/>
  <c r="E6" i="8"/>
  <c r="P46" i="7"/>
  <c r="J46" i="7"/>
  <c r="P45" i="7"/>
  <c r="J45" i="7"/>
  <c r="P44" i="7"/>
  <c r="J44" i="7"/>
  <c r="K43" i="7"/>
  <c r="E43" i="7"/>
  <c r="P41" i="7"/>
  <c r="J41" i="7"/>
  <c r="P40" i="7"/>
  <c r="J40" i="7"/>
  <c r="P39" i="7"/>
  <c r="J39" i="7"/>
  <c r="K38" i="7"/>
  <c r="E38" i="7"/>
  <c r="P36" i="7"/>
  <c r="J36" i="7"/>
  <c r="P35" i="7"/>
  <c r="J35" i="7"/>
  <c r="P34" i="7"/>
  <c r="J34" i="7"/>
  <c r="P33" i="7"/>
  <c r="J33" i="7"/>
  <c r="K32" i="7"/>
  <c r="E32" i="7"/>
  <c r="P30" i="7"/>
  <c r="J30" i="7"/>
  <c r="P29" i="7"/>
  <c r="J29" i="7"/>
  <c r="P28" i="7"/>
  <c r="J28" i="7"/>
  <c r="K27" i="7"/>
  <c r="E27" i="7"/>
  <c r="P25" i="7"/>
  <c r="J25" i="7"/>
  <c r="P24" i="7"/>
  <c r="J24" i="7"/>
  <c r="P23" i="7"/>
  <c r="J23" i="7"/>
  <c r="K22" i="7"/>
  <c r="E22" i="7"/>
  <c r="P20" i="7"/>
  <c r="J20" i="7"/>
  <c r="P19" i="7"/>
  <c r="J19" i="7"/>
  <c r="P18" i="7"/>
  <c r="J18" i="7"/>
  <c r="E17" i="7" s="1"/>
  <c r="I3" i="7" s="1"/>
  <c r="K17" i="7"/>
  <c r="P15" i="7"/>
  <c r="J15" i="7"/>
  <c r="P14" i="7"/>
  <c r="J14" i="7"/>
  <c r="P13" i="7"/>
  <c r="J13" i="7"/>
  <c r="P12" i="7"/>
  <c r="J12" i="7"/>
  <c r="K11" i="7"/>
  <c r="E11" i="7"/>
  <c r="P9" i="7"/>
  <c r="J9" i="7"/>
  <c r="P8" i="7"/>
  <c r="J8" i="7"/>
  <c r="P7" i="7"/>
  <c r="J7" i="7"/>
  <c r="K6" i="7"/>
  <c r="O3" i="7" s="1"/>
  <c r="E6" i="7"/>
  <c r="B6" i="6"/>
  <c r="B2" i="6"/>
  <c r="P13" i="3"/>
  <c r="P12" i="3"/>
  <c r="J13" i="3"/>
  <c r="J12" i="3"/>
  <c r="P25" i="3"/>
  <c r="J25" i="3"/>
  <c r="P24" i="3"/>
  <c r="J24" i="3"/>
  <c r="P23" i="3"/>
  <c r="J23" i="3"/>
  <c r="P9" i="3"/>
  <c r="J9" i="3"/>
  <c r="P8" i="3"/>
  <c r="J8" i="3"/>
  <c r="P7" i="3"/>
  <c r="J7" i="3"/>
  <c r="P30" i="3"/>
  <c r="P29" i="3"/>
  <c r="P28" i="3"/>
  <c r="P46" i="3"/>
  <c r="P45" i="3"/>
  <c r="P44" i="3"/>
  <c r="P41" i="3"/>
  <c r="P40" i="3"/>
  <c r="P39" i="3"/>
  <c r="P36" i="3"/>
  <c r="P35" i="3"/>
  <c r="P34" i="3"/>
  <c r="P33" i="3"/>
  <c r="P20" i="3"/>
  <c r="P19" i="3"/>
  <c r="P18" i="3"/>
  <c r="P15" i="3"/>
  <c r="P14" i="3"/>
  <c r="J30" i="3"/>
  <c r="J29" i="3"/>
  <c r="J28" i="3"/>
  <c r="J46" i="3"/>
  <c r="J45" i="3"/>
  <c r="J44" i="3"/>
  <c r="J41" i="3"/>
  <c r="J40" i="3"/>
  <c r="J39" i="3"/>
  <c r="J36" i="3"/>
  <c r="J35" i="3"/>
  <c r="J34" i="3"/>
  <c r="J33" i="3"/>
  <c r="J20" i="3"/>
  <c r="J19" i="3"/>
  <c r="J18" i="3"/>
  <c r="J15" i="3"/>
  <c r="J14" i="3"/>
  <c r="K6" i="3" l="1"/>
  <c r="K22" i="3"/>
  <c r="E22" i="3"/>
  <c r="E6" i="3"/>
  <c r="K27" i="3"/>
  <c r="E11" i="3"/>
  <c r="E43" i="3"/>
  <c r="K32" i="3"/>
  <c r="K17" i="3"/>
  <c r="K38" i="3"/>
  <c r="K43" i="3"/>
  <c r="K11" i="3"/>
  <c r="E27" i="3"/>
  <c r="E38" i="3"/>
  <c r="E17" i="3"/>
  <c r="E32" i="3"/>
  <c r="O3" i="3" l="1"/>
  <c r="I3" i="3"/>
  <c r="G3" i="5" s="1" a="1"/>
  <c r="G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<sst xmlns="http://schemas.openxmlformats.org/spreadsheetml/2006/main" count="403" uniqueCount="187">
  <si>
    <t>机会记分卡</t>
  </si>
  <si>
    <t>行动/补救计划</t>
  </si>
  <si>
    <t>可能会遇到什么问题？</t>
  </si>
  <si>
    <t>日期</t>
  </si>
  <si>
    <t>备注</t>
    <phoneticPr fontId="7"/>
  </si>
  <si>
    <t>已识别客户的痛点及其影响。</t>
    <phoneticPr fontId="7"/>
  </si>
  <si>
    <t>Opportunity Scorecard</t>
  </si>
  <si>
    <t>Yes</t>
  </si>
  <si>
    <t>The decision criteria are differentiated for AWS.</t>
    <phoneticPr fontId="11" type="noConversion"/>
  </si>
  <si>
    <t>The customer agrees the pain compels them to act.</t>
    <phoneticPr fontId="11" type="noConversion"/>
  </si>
  <si>
    <t>I have evidence the Champion is selling internally.</t>
    <phoneticPr fontId="11" type="noConversion"/>
  </si>
  <si>
    <t>Economic Buyer（最终决策者）</t>
  </si>
  <si>
    <t>Decision Criteria（决策标准）</t>
  </si>
  <si>
    <t>Decision Process（决策流程）</t>
  </si>
  <si>
    <t>Paper Process（文件流程）</t>
  </si>
  <si>
    <t>Champion（客户内部支持者）</t>
  </si>
  <si>
    <t>Competition（竞争）</t>
  </si>
  <si>
    <t>Champion（客户内部支持者）已确认决策标准。</t>
  </si>
  <si>
    <t>Economic Buyer（最终决策者）确认倾向选择 AWS</t>
  </si>
  <si>
    <t>Champion（客户内部支持者）有权力和影响力。</t>
  </si>
  <si>
    <t>Champion（客户内部支持者）提供有价值的信息。</t>
  </si>
  <si>
    <t>Economic Buyer（最终决策者）已口头同意交易。</t>
  </si>
  <si>
    <t>已和 Champion（客户内部支持者）验证过指标。</t>
  </si>
  <si>
    <t>Metrics（指标）</t>
  </si>
  <si>
    <t>有证据表明 Champion（客户内部支持者）正在其企业内部推动机会。</t>
  </si>
  <si>
    <t>已和 Economic Buyer（最终决策者）验证过指标。</t>
  </si>
  <si>
    <t xml:space="preserve">了解客户在签订协议时的 Paper Process（文件流程）和要求（如必要，包括 RFP/RFI 标准）。 </t>
  </si>
  <si>
    <t>Account Name</t>
    <phoneticPr fontId="11" type="noConversion"/>
  </si>
  <si>
    <t>#OneTeam 角色</t>
    <phoneticPr fontId="7"/>
  </si>
  <si>
    <t>Prospect</t>
  </si>
  <si>
    <t>Qualified</t>
  </si>
  <si>
    <t>Business Validation</t>
  </si>
  <si>
    <t>Committed</t>
  </si>
  <si>
    <t>Closed/Launched</t>
  </si>
  <si>
    <r>
      <t xml:space="preserve">Metrics
</t>
    </r>
    <r>
      <rPr>
        <sz val="10"/>
        <rFont val="微软雅黑"/>
        <family val="2"/>
        <charset val="134"/>
      </rPr>
      <t>（指标）</t>
    </r>
  </si>
  <si>
    <t>Paper Process
（文件流程）</t>
  </si>
  <si>
    <t>Decision Criteria
（决策标准）</t>
  </si>
  <si>
    <t>Champion
（客户内部支持者）</t>
  </si>
  <si>
    <t>Decision Process
（决策流程）</t>
  </si>
  <si>
    <t>Economic Buyer
（最终决策者）</t>
  </si>
  <si>
    <t>Tech 
Validation</t>
  </si>
  <si>
    <t>Economic 
Buyer
（最终决策者）</t>
  </si>
  <si>
    <t>Competition
（竞争）</t>
  </si>
  <si>
    <t>了解紧急程度并已经把业务痛点量化为指标。</t>
  </si>
  <si>
    <t>已掌握客户的购买决策标准。</t>
  </si>
  <si>
    <t>Decision Criteria（决策标准）有利于 AWS，能体现AWS的独特价值。</t>
  </si>
  <si>
    <t>法务、财务和 Economic Buyer（最终决策者）的目标是一致的。</t>
  </si>
  <si>
    <t>有文件/采购流程的 Champion（客户内部支持者）能指导我们如何走通合同与采购流程。</t>
  </si>
  <si>
    <t>客户痛点有足够可量化的负面业务影响。</t>
  </si>
  <si>
    <t>AWS有备选方案所不具备的优势。</t>
  </si>
  <si>
    <t>The Economic Buyer recognizes the business pain points, AWS solutions, and the value (metrics) that the solutions deliver.</t>
    <phoneticPr fontId="11" type="noConversion"/>
  </si>
  <si>
    <t>客户的需求标准更倾向于AWS。</t>
  </si>
  <si>
    <t>正在执行一个双方达成一致的文件流程。</t>
  </si>
  <si>
    <t>正在执行双方达成一致的成交计划。</t>
  </si>
  <si>
    <t>Champion（客户内部支持者）提供完成交易的必要步骤。</t>
  </si>
  <si>
    <t>业务导向</t>
  </si>
  <si>
    <t>流程导向</t>
  </si>
  <si>
    <t>Economic Buyer (最终决策者) 认可业务痛点、AWS解决方案以及方案带来的价值 (指标)。</t>
  </si>
  <si>
    <t>已经把Economic Buyer（最终决策者）最关注的业务成果或战略目标作为指标。</t>
  </si>
  <si>
    <t>客户认同当前痛点具有紧迫性，需要他们立即采取行动。</t>
  </si>
  <si>
    <t>课前练习</t>
  </si>
  <si>
    <t>课后练习</t>
  </si>
  <si>
    <t>Implicate the Pain（识别痛点）</t>
    <phoneticPr fontId="7"/>
  </si>
  <si>
    <t>I have identified the customer's pain and the implications.</t>
    <phoneticPr fontId="11" type="noConversion"/>
  </si>
  <si>
    <t>There are sufficient, quantifiable, negative consequences of the pain.</t>
    <phoneticPr fontId="11" type="noConversion"/>
  </si>
  <si>
    <t>The Champion has confirmed the decision criteria.</t>
    <phoneticPr fontId="11" type="noConversion"/>
  </si>
  <si>
    <t>I know the urgency and quantified the business problem(s) into a metric.</t>
    <phoneticPr fontId="11" type="noConversion"/>
  </si>
  <si>
    <t>I verified the metric with my Champion(s).</t>
    <phoneticPr fontId="11" type="noConversion"/>
  </si>
  <si>
    <t>I verified the metric with the Economic Buyer.</t>
    <phoneticPr fontId="11" type="noConversion"/>
  </si>
  <si>
    <t>My Champion has power and influence.</t>
    <phoneticPr fontId="11" type="noConversion"/>
  </si>
  <si>
    <t>The Champion has provided me with the steps to close the deal.</t>
    <phoneticPr fontId="11" type="noConversion"/>
  </si>
  <si>
    <t>Legal, Finance and Economic Buyer/seller are aligned.</t>
    <phoneticPr fontId="11" type="noConversion"/>
  </si>
  <si>
    <t>The Champion is providing valuable intel.</t>
    <phoneticPr fontId="11" type="noConversion"/>
  </si>
  <si>
    <t>We are executing on a mutually aligned close plan.</t>
    <phoneticPr fontId="11" type="noConversion"/>
  </si>
  <si>
    <t xml:space="preserve">I understand the customer's paper process and requirements (RFP/RFI criteria if necessary) to form an agreement. </t>
    <phoneticPr fontId="11" type="noConversion"/>
  </si>
  <si>
    <t>I have a paper/procurement Champion.</t>
    <phoneticPr fontId="11" type="noConversion"/>
  </si>
  <si>
    <t>We are executing on a mutually aligned paper process</t>
    <phoneticPr fontId="11" type="noConversion"/>
  </si>
  <si>
    <t>The Economic Buyer has given me a verbal 'go' on the deal.</t>
    <phoneticPr fontId="11" type="noConversion"/>
  </si>
  <si>
    <r>
      <t xml:space="preserve">Implicate 
the Pain
</t>
    </r>
    <r>
      <rPr>
        <sz val="10"/>
        <rFont val="微软雅黑"/>
        <family val="2"/>
        <charset val="134"/>
      </rPr>
      <t>（识别痛点）</t>
    </r>
  </si>
  <si>
    <t>已与 Economic Buyer（最终决策者）接触并提及了该项目。</t>
  </si>
  <si>
    <t>Our key metric is directly aligned with the Economic Buyer's primary business objectives and strategic goals.</t>
    <phoneticPr fontId="11" type="noConversion"/>
  </si>
  <si>
    <t>I have engaged with the Economic Buyer and discussed the initiative.</t>
    <phoneticPr fontId="11" type="noConversion"/>
  </si>
  <si>
    <t>知道客户在考虑除 AWS 以外的备选方案。 (如果选择Yes, 请到 “竞争分析” Tab 填入细节。)</t>
  </si>
  <si>
    <t>Action Plan</t>
  </si>
  <si>
    <t>Opp Stage</t>
  </si>
  <si>
    <t>Customer opportunity identified</t>
  </si>
  <si>
    <t>Initial customer meeting scheduled</t>
  </si>
  <si>
    <t>Customer is willing to pursue a solution</t>
  </si>
  <si>
    <t>Closed/Lost
No commitment from customer to proceed or existing commitment can no longer be honored
Another cloud provider has been selected by the customer</t>
  </si>
  <si>
    <t>Closed/Launched
Customer solution has started to move to AWS OR customer usage has spiked by 10% of opportunity MRR value (Utility &amp; Committed contract)
Customer has signed an agreement (Private Pricing Agreement)</t>
  </si>
  <si>
    <t>Business Driven</t>
  </si>
  <si>
    <t>Business 
Driven</t>
  </si>
  <si>
    <t>Process Driven</t>
  </si>
  <si>
    <t>Process 
Driven</t>
  </si>
  <si>
    <r>
      <t xml:space="preserve">Metrics
</t>
    </r>
    <r>
      <rPr>
        <sz val="10"/>
        <rFont val="微软雅黑"/>
        <family val="2"/>
        <charset val="134"/>
      </rPr>
      <t>（指標）</t>
    </r>
  </si>
  <si>
    <t>Economic Buyer
（最終決策者）</t>
  </si>
  <si>
    <t>Decision Criteria
（決策標準）</t>
  </si>
  <si>
    <t>Decision Process
（決策流程）</t>
  </si>
  <si>
    <t>Competition
（競爭）</t>
  </si>
  <si>
    <t>Champion
（客戶內部支持者）</t>
  </si>
  <si>
    <r>
      <t xml:space="preserve">Implicate 
the Pain
</t>
    </r>
    <r>
      <rPr>
        <sz val="10"/>
        <rFont val="微软雅黑"/>
        <family val="2"/>
        <charset val="134"/>
      </rPr>
      <t>（識別痛點）</t>
    </r>
  </si>
  <si>
    <t>Implicate the Pain（識別痛點）</t>
  </si>
  <si>
    <t>Metrics（指標）</t>
  </si>
  <si>
    <t>了解紧急程度并已经把业务痛点量化为指標。</t>
  </si>
  <si>
    <t>Metrics
（指標）</t>
  </si>
  <si>
    <t>Economic Buyer (最終決策者) 认可业务痛点、AWS解决方案以及方案带来的价值 (指標)。</t>
  </si>
  <si>
    <t>Economic 
Buyer
（最終決策者）</t>
  </si>
  <si>
    <t>Economic Buyer（最終決策者）</t>
  </si>
  <si>
    <t>Champion（客戶內部支持者）</t>
  </si>
  <si>
    <t>Competition（競爭）</t>
  </si>
  <si>
    <t>Decision Criteria（決策標準）</t>
  </si>
  <si>
    <t>Decision Process（決策流程）</t>
  </si>
  <si>
    <t>Process
 Driven</t>
  </si>
  <si>
    <t>Pre-Class Exercise</t>
  </si>
  <si>
    <t>AWS has advantages that alternatives do not.</t>
  </si>
  <si>
    <t>The customer's decision criteria favor AWS over the alternatives.</t>
  </si>
  <si>
    <t>The customer’s buying decision criteria have been identified.</t>
  </si>
  <si>
    <t>機會記分卡</t>
  </si>
  <si>
    <t>課前練習</t>
  </si>
  <si>
    <t>課後練習</t>
  </si>
  <si>
    <t>客戶認同當前痛點具有緊迫性，需要他們立即採取行動。</t>
  </si>
  <si>
    <t>客戶痛點有足夠可量化的負面業務影響。</t>
  </si>
  <si>
    <t>已識別客戶的痛點及其影響。</t>
  </si>
  <si>
    <t>已經把Economic Buyer（最終決策者）最關注的業務成果或戰略目標作為指標。</t>
  </si>
  <si>
    <t>已和 Champion（客戶內部支持者）驗證過指標。</t>
  </si>
  <si>
    <t>已和 Economic Buyer（最終決策者）驗證過指標。</t>
  </si>
  <si>
    <t>已與 Economic Buyer（最終決策者）接觸並提及了該項目。</t>
  </si>
  <si>
    <t>Economic Buyer（最終決策者）已口頭同意交易。</t>
  </si>
  <si>
    <t>業務導向</t>
  </si>
  <si>
    <t>流程導向</t>
  </si>
  <si>
    <t>核心資源</t>
  </si>
  <si>
    <t>Core Resource</t>
  </si>
  <si>
    <t>Champion（客戶內部支持者）有權力和影響力。</t>
  </si>
  <si>
    <t>Champion（客戶內部支持者）提供有價值的信息。</t>
  </si>
  <si>
    <t>有證據證明 Champion（客戶內部支持者）正在其企業內部推動機會。</t>
  </si>
  <si>
    <t>知道客戶在考慮除 AWS 以外備選方案。 （如果選擇Yes，請到“競爭分析”Tab填入細節。)</t>
  </si>
  <si>
    <t>AWS有備選方案所不具備的優勢。</t>
  </si>
  <si>
    <t>客戶的需求標準更傾向與AWS。</t>
  </si>
  <si>
    <t>已掌握客戶的購買決策標準。</t>
  </si>
  <si>
    <t>Champion（客戶內部支持者）已確認決策標準。</t>
  </si>
  <si>
    <t>Decision Criteria（決策標準）有利於 AWS，能體現AWS的獨特價值。</t>
  </si>
  <si>
    <t>Economic Buyer（最終決策者）確認傾向選擇 AWS。</t>
  </si>
  <si>
    <t>Champion（客戶內部支持者）提供完成的必要步驟。</t>
  </si>
  <si>
    <t>法務、財務和 Economic Buyer（最終決策者）的目標是一致的。</t>
  </si>
  <si>
    <t>正在執行雙方達成一致的成交計畫。</t>
  </si>
  <si>
    <t xml:space="preserve">了解客戶在簽訂協議時的 Paper Process（文件流程）和要求（如必要，包括 RFP/RFI標準）。 </t>
  </si>
  <si>
    <t>有文件/採購流程的 Champion（客戶內部支持者）能指導我們如何走通合同與採購流程。</t>
  </si>
  <si>
    <t>正在執行一個雙方達成一致的文件流程。</t>
  </si>
  <si>
    <t>#OneTeam Role</t>
  </si>
  <si>
    <t>#OneTeam 角色</t>
  </si>
  <si>
    <t>行動/補救計畫</t>
  </si>
  <si>
    <t>可能會遇到什麼問題？</t>
  </si>
  <si>
    <t>備註</t>
  </si>
  <si>
    <t>Action/Backup Plan</t>
  </si>
  <si>
    <t>Potential Issues</t>
  </si>
  <si>
    <t>Remarks</t>
  </si>
  <si>
    <t>Describe current status (what has been done, what is still missing)</t>
  </si>
  <si>
    <t xml:space="preserve">Opportunity Detials </t>
  </si>
  <si>
    <t>1. Account Name</t>
  </si>
  <si>
    <t>3. Customer Business Objective</t>
  </si>
  <si>
    <t>4. Potential Obstacles to Winning the Deal or Customer Concerns</t>
  </si>
  <si>
    <t>5. Current Opportunity Stage</t>
  </si>
  <si>
    <t>AWS Solutions and Services</t>
  </si>
  <si>
    <t>2. Job Title and Department of the Economic Buyer</t>
  </si>
  <si>
    <t>After-Class Exericse</t>
  </si>
  <si>
    <t>Aware that the customer is considering alternatives to AWS. (If "Yes", go to the "Competitive Info" tab and fill in the details.</t>
  </si>
  <si>
    <t>Information from the current and all previous stages needs to be entered</t>
  </si>
  <si>
    <t>Exit Criteria</t>
  </si>
  <si>
    <t>Target Date</t>
  </si>
  <si>
    <t>Current 
completion %</t>
  </si>
  <si>
    <t>AWS Competitor  MUST fill in here (E.g GCP, Ali, Azure)</t>
  </si>
  <si>
    <t>DON’T FILL IN</t>
  </si>
  <si>
    <t>Opportunity Name</t>
  </si>
  <si>
    <r>
      <t xml:space="preserve">Score-Before
</t>
    </r>
    <r>
      <rPr>
        <b/>
        <sz val="11"/>
        <color rgb="FFFF0000"/>
        <rFont val="Arial"/>
        <family val="2"/>
      </rPr>
      <t>(Do not manually enter)</t>
    </r>
    <phoneticPr fontId="11" type="noConversion"/>
  </si>
  <si>
    <r>
      <t xml:space="preserve">Score-After
</t>
    </r>
    <r>
      <rPr>
        <b/>
        <sz val="11"/>
        <color rgb="FFFF0000"/>
        <rFont val="Arial"/>
        <family val="2"/>
      </rPr>
      <t>(Do not manually enter)</t>
    </r>
    <phoneticPr fontId="11" type="noConversion"/>
  </si>
  <si>
    <r>
      <t xml:space="preserve">Oppt Stage
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</si>
  <si>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t>For "Others" opportunity type, provide description here</t>
    <phoneticPr fontId="11" type="noConversion"/>
  </si>
  <si>
    <r>
      <t xml:space="preserve">Opportunity Type
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</si>
  <si>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r>
      <t xml:space="preserve">Opportunity Location 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</si>
  <si>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t>Delivery governance implemented
Closed/Launched is the final stage in opportunity progression and signals that the opportunity has been won</t>
    <phoneticPr fontId="11" type="noConversion"/>
  </si>
  <si>
    <t>Deal details, including economics and close plan, have been jointly reviewed and agreed to with customer</t>
    <phoneticPr fontId="11" type="noConversion"/>
  </si>
  <si>
    <t>Relevant customer approvals have been secured</t>
    <phoneticPr fontId="11" type="noConversion"/>
  </si>
  <si>
    <t>Technical solution design finalized and agreed with customer</t>
    <phoneticPr fontId="11" type="noConversion"/>
  </si>
  <si>
    <t>Customer and AWS share common understanding of solution architecture, implementation, and process</t>
    <phoneticPr fontId="11" type="noConversion"/>
  </si>
  <si>
    <t>Delivery partner strategy (Partner and/or ProServe) identified</t>
    <phoneticPr fontId="11" type="noConversion"/>
  </si>
  <si>
    <t>Customer champion &amp; decision-maker identified</t>
    <phoneticPr fontId="11" type="noConversion"/>
  </si>
  <si>
    <t>Opportunity has products with a valid estimated value (non-zero-dollar value)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</si>
</sst>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</font>
    <font>
      <sz val="10"/>
      <name val="Arial"/>
      <family val="2"/>
    </font>
    <font>
      <sz val="3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6"/>
      <name val="HGGothicE"/>
      <family val="3"/>
      <charset val="128"/>
    </font>
    <font>
      <sz val="10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</font>
    <font>
      <sz val="18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2"/>
      <color rgb="FFFF0000"/>
      <name val="Arial"/>
      <family val="2"/>
    </font>
    <font>
      <b/>
      <sz val="22"/>
      <color theme="4"/>
      <name val="Arial"/>
      <family val="2"/>
    </font>
    <font>
      <b/>
      <sz val="22"/>
      <color rgb="FFFF0000"/>
      <name val="宋体"/>
      <family val="2"/>
      <charset val="134"/>
    </font>
    <font>
      <b/>
      <sz val="22"/>
      <color theme="4"/>
      <name val="宋体"/>
      <family val="2"/>
      <charset val="134"/>
    </font>
    <font>
      <b/>
      <sz val="12"/>
      <color theme="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0"/>
      <name val="Arial"/>
      <family val="2"/>
    </font>
    <font>
      <b/>
      <sz val="22"/>
      <color theme="1"/>
      <name val="微软雅黑"/>
      <family val="2"/>
      <charset val="134"/>
    </font>
    <font>
      <sz val="11"/>
      <name val="Amazon Ember"/>
      <family val="2"/>
    </font>
    <font>
      <sz val="11"/>
      <color rgb="FF000000"/>
      <name val="Amazon Ember"/>
      <family val="2"/>
    </font>
    <font>
      <b/>
      <sz val="11"/>
      <color rgb="FFFF0000"/>
      <name val="Arial"/>
      <family val="2"/>
    </font>
    <font>
      <b/>
      <sz val="14"/>
      <color rgb="FF000000"/>
      <name val="Amazon Ember"/>
      <family val="2"/>
    </font>
    <font>
      <sz val="14"/>
      <color theme="1"/>
      <name val="Amazon Ember"/>
      <family val="2"/>
    </font>
    <font>
      <sz val="14"/>
      <name val="Amazon Ember"/>
      <family val="2"/>
    </font>
    <font>
      <sz val="14"/>
      <color rgb="FF000000"/>
      <name val="Amazon Ember"/>
      <family val="2"/>
    </font>
    <font>
      <sz val="10"/>
      <color theme="0"/>
      <name val="Arial"/>
      <family val="2"/>
    </font>
    <font>
      <b/>
      <sz val="11"/>
      <color theme="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40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 style="medium">
        <color indexed="64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medium">
        <color indexed="64"/>
      </bottom>
      <diagonal/>
    </border>
    <border>
      <left style="double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Protection="0"/>
    <xf numFmtId="0" fontId="6" fillId="0" borderId="0"/>
  </cellStyleXfs>
  <cellXfs count="149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right" vertical="center" wrapText="1"/>
    </xf>
    <xf numFmtId="0" fontId="13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3" fillId="3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6" fillId="0" borderId="5" xfId="0" applyFont="1" applyBorder="1"/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wrapText="1"/>
    </xf>
    <xf numFmtId="0" fontId="0" fillId="8" borderId="0" xfId="0" applyFill="1"/>
    <xf numFmtId="0" fontId="3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8" fillId="8" borderId="0" xfId="0" applyFont="1" applyFill="1"/>
    <xf numFmtId="0" fontId="10" fillId="8" borderId="0" xfId="0" applyFont="1" applyFill="1" applyAlignment="1">
      <alignment vertical="center"/>
    </xf>
    <xf numFmtId="0" fontId="0" fillId="8" borderId="0" xfId="0" applyFill="1" applyAlignment="1">
      <alignment horizontal="center"/>
    </xf>
    <xf numFmtId="0" fontId="8" fillId="8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9" fillId="8" borderId="0" xfId="0" applyFont="1" applyFill="1"/>
    <xf numFmtId="0" fontId="14" fillId="8" borderId="0" xfId="0" applyFont="1" applyFill="1"/>
    <xf numFmtId="0" fontId="14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3" fillId="2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0" fillId="8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7" fillId="0" borderId="42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 wrapText="1" readingOrder="1"/>
    </xf>
    <xf numFmtId="9" fontId="31" fillId="0" borderId="5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/>
    </xf>
    <xf numFmtId="0" fontId="32" fillId="0" borderId="42" xfId="0" applyFont="1" applyBorder="1" applyAlignment="1">
      <alignment horizontal="left" vertical="center" wrapText="1"/>
    </xf>
    <xf numFmtId="9" fontId="31" fillId="0" borderId="42" xfId="0" applyNumberFormat="1" applyFont="1" applyBorder="1" applyAlignment="1">
      <alignment horizontal="center" vertical="center"/>
    </xf>
    <xf numFmtId="0" fontId="13" fillId="4" borderId="37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3" fillId="4" borderId="38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0" fontId="33" fillId="11" borderId="0" xfId="0" applyFont="1" applyFill="1" applyAlignment="1">
      <alignment horizontal="center" vertical="center"/>
    </xf>
    <xf numFmtId="0" fontId="34" fillId="5" borderId="5" xfId="0" applyFont="1" applyFill="1" applyBorder="1" applyAlignment="1">
      <alignment horizontal="center" vertical="center" wrapText="1"/>
    </xf>
    <xf numFmtId="0" fontId="29" fillId="0" borderId="39" xfId="0" applyFont="1" applyBorder="1" applyAlignment="1">
      <alignment horizontal="left" vertical="center"/>
    </xf>
    <xf numFmtId="0" fontId="23" fillId="12" borderId="44" xfId="0" applyFont="1" applyFill="1" applyBorder="1" applyAlignment="1">
      <alignment horizontal="center" vertical="center"/>
    </xf>
    <xf numFmtId="0" fontId="23" fillId="12" borderId="35" xfId="0" applyFont="1" applyFill="1" applyBorder="1" applyAlignment="1">
      <alignment horizontal="center" vertical="center"/>
    </xf>
    <xf numFmtId="0" fontId="23" fillId="12" borderId="45" xfId="0" applyFont="1" applyFill="1" applyBorder="1" applyAlignment="1">
      <alignment horizontal="center" vertical="center"/>
    </xf>
    <xf numFmtId="0" fontId="29" fillId="0" borderId="39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 textRotation="180"/>
    </xf>
    <xf numFmtId="0" fontId="22" fillId="6" borderId="14" xfId="0" applyFont="1" applyFill="1" applyBorder="1" applyAlignment="1">
      <alignment horizontal="center" vertical="center" textRotation="180"/>
    </xf>
    <xf numFmtId="0" fontId="22" fillId="6" borderId="15" xfId="0" applyFont="1" applyFill="1" applyBorder="1" applyAlignment="1">
      <alignment horizontal="center" vertical="center" textRotation="180"/>
    </xf>
    <xf numFmtId="0" fontId="22" fillId="6" borderId="12" xfId="0" applyFont="1" applyFill="1" applyBorder="1" applyAlignment="1">
      <alignment horizontal="center" vertical="center" textRotation="180"/>
    </xf>
    <xf numFmtId="0" fontId="22" fillId="6" borderId="16" xfId="0" applyFont="1" applyFill="1" applyBorder="1" applyAlignment="1">
      <alignment horizontal="center" vertical="center" textRotation="180"/>
    </xf>
    <xf numFmtId="0" fontId="22" fillId="6" borderId="17" xfId="0" applyFont="1" applyFill="1" applyBorder="1" applyAlignment="1">
      <alignment horizontal="center" vertical="center" textRotation="180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31" xfId="0" applyFont="1" applyBorder="1"/>
    <xf numFmtId="0" fontId="25" fillId="4" borderId="36" xfId="0" applyFont="1" applyFill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14" fontId="3" fillId="0" borderId="26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textRotation="180"/>
    </xf>
    <xf numFmtId="0" fontId="4" fillId="0" borderId="3" xfId="0" applyFont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 textRotation="180"/>
    </xf>
    <xf numFmtId="0" fontId="22" fillId="10" borderId="14" xfId="0" applyFont="1" applyFill="1" applyBorder="1" applyAlignment="1">
      <alignment horizontal="center" vertical="center" textRotation="180"/>
    </xf>
    <xf numFmtId="0" fontId="22" fillId="10" borderId="15" xfId="0" applyFont="1" applyFill="1" applyBorder="1" applyAlignment="1">
      <alignment horizontal="center" vertical="center" textRotation="180"/>
    </xf>
    <xf numFmtId="0" fontId="22" fillId="10" borderId="12" xfId="0" applyFont="1" applyFill="1" applyBorder="1" applyAlignment="1">
      <alignment horizontal="center" vertical="center" textRotation="180"/>
    </xf>
    <xf numFmtId="0" fontId="22" fillId="10" borderId="16" xfId="0" applyFont="1" applyFill="1" applyBorder="1" applyAlignment="1">
      <alignment horizontal="center" vertical="center" textRotation="180"/>
    </xf>
    <xf numFmtId="0" fontId="22" fillId="10" borderId="17" xfId="0" applyFont="1" applyFill="1" applyBorder="1" applyAlignment="1">
      <alignment horizontal="center" vertical="center" textRotation="180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7" borderId="5" xfId="0" applyFont="1" applyFill="1" applyBorder="1" applyAlignment="1">
      <alignment horizontal="center" vertical="center" textRotation="180"/>
    </xf>
    <xf numFmtId="0" fontId="14" fillId="8" borderId="0" xfId="0" applyFont="1" applyFill="1" applyAlignment="1">
      <alignment vertical="center"/>
    </xf>
    <xf numFmtId="0" fontId="10" fillId="8" borderId="0" xfId="0" applyFont="1" applyFill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textRotation="180" wrapText="1"/>
    </xf>
    <xf numFmtId="0" fontId="22" fillId="6" borderId="14" xfId="0" applyFont="1" applyFill="1" applyBorder="1" applyAlignment="1">
      <alignment horizontal="center" vertical="center" textRotation="180" wrapText="1"/>
    </xf>
    <xf numFmtId="0" fontId="22" fillId="6" borderId="15" xfId="0" applyFont="1" applyFill="1" applyBorder="1" applyAlignment="1">
      <alignment horizontal="center" vertical="center" textRotation="180" wrapText="1"/>
    </xf>
    <xf numFmtId="0" fontId="22" fillId="6" borderId="12" xfId="0" applyFont="1" applyFill="1" applyBorder="1" applyAlignment="1">
      <alignment horizontal="center" vertical="center" textRotation="180" wrapText="1"/>
    </xf>
    <xf numFmtId="0" fontId="22" fillId="6" borderId="16" xfId="0" applyFont="1" applyFill="1" applyBorder="1" applyAlignment="1">
      <alignment horizontal="center" vertical="center" textRotation="180" wrapText="1"/>
    </xf>
    <xf numFmtId="0" fontId="22" fillId="6" borderId="17" xfId="0" applyFont="1" applyFill="1" applyBorder="1" applyAlignment="1">
      <alignment horizontal="center" vertical="center" textRotation="180" wrapText="1"/>
    </xf>
    <xf numFmtId="0" fontId="22" fillId="10" borderId="13" xfId="0" applyFont="1" applyFill="1" applyBorder="1" applyAlignment="1">
      <alignment horizontal="center" vertical="center" textRotation="180" wrapText="1"/>
    </xf>
    <xf numFmtId="0" fontId="22" fillId="10" borderId="14" xfId="0" applyFont="1" applyFill="1" applyBorder="1" applyAlignment="1">
      <alignment horizontal="center" vertical="center" textRotation="180" wrapText="1"/>
    </xf>
    <xf numFmtId="0" fontId="22" fillId="10" borderId="15" xfId="0" applyFont="1" applyFill="1" applyBorder="1" applyAlignment="1">
      <alignment horizontal="center" vertical="center" textRotation="180" wrapText="1"/>
    </xf>
    <xf numFmtId="0" fontId="22" fillId="10" borderId="12" xfId="0" applyFont="1" applyFill="1" applyBorder="1" applyAlignment="1">
      <alignment horizontal="center" vertical="center" textRotation="180" wrapText="1"/>
    </xf>
    <xf numFmtId="0" fontId="22" fillId="10" borderId="16" xfId="0" applyFont="1" applyFill="1" applyBorder="1" applyAlignment="1">
      <alignment horizontal="center" vertical="center" textRotation="180" wrapText="1"/>
    </xf>
    <xf numFmtId="0" fontId="22" fillId="10" borderId="17" xfId="0" applyFont="1" applyFill="1" applyBorder="1" applyAlignment="1">
      <alignment horizontal="center" vertical="center" textRotation="180" wrapText="1"/>
    </xf>
    <xf numFmtId="0" fontId="13" fillId="7" borderId="5" xfId="0" applyFont="1" applyFill="1" applyBorder="1" applyAlignment="1">
      <alignment horizontal="center" vertical="center" textRotation="180" wrapText="1"/>
    </xf>
    <xf numFmtId="0" fontId="22" fillId="6" borderId="5" xfId="0" applyFont="1" applyFill="1" applyBorder="1" applyAlignment="1">
      <alignment horizontal="center" vertical="center" textRotation="180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4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92510CB-B847-844B-B15C-C5E7847EFF33}"/>
    <cellStyle name="Normal 3" xfId="2" xr:uid="{C0FFC866-CA46-844A-9FBE-ACEB07952C1C}"/>
  </cellStyles>
  <dxfs count="162"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C6E0B4"/>
      <color rgb="FFFF40FF"/>
      <color rgb="FFF1A5A0"/>
      <color rgb="FF00B100"/>
      <color rgb="FF204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034A-EA2B-495E-A914-DFCB1CF1FFD6}">
  <sheetPr>
    <pageSetUpPr fitToPage="1"/>
  </sheetPr>
  <dimension ref="A2:I21"/>
  <sheetViews>
    <sheetView showGridLines="0" zoomScale="115" zoomScaleNormal="115" workbookViewId="0">
      <selection activeCell="A3" sqref="A3"/>
    </sheetView>
  </sheetViews>
  <sheetFormatPr defaultColWidth="8.77734375" defaultRowHeight="13.2" x14ac:dyDescent="0.25"/>
  <cols>
    <col min="1" max="1" width="22.44140625" bestFit="1" customWidth="1"/>
    <col min="2" max="2" width="68.33203125" customWidth="1"/>
    <col min="3" max="3" width="22.6640625" customWidth="1"/>
    <col min="4" max="4" width="21.6640625" bestFit="1" customWidth="1"/>
    <col min="5" max="5" width="38" customWidth="1"/>
    <col min="6" max="6" width="18.33203125" style="6" customWidth="1"/>
    <col min="7" max="8" width="14.77734375" bestFit="1" customWidth="1"/>
  </cols>
  <sheetData>
    <row r="2" spans="1:8" s="5" customFormat="1" ht="58.5" customHeight="1" x14ac:dyDescent="0.25">
      <c r="A2" s="7" t="s">
        <v>27</v>
      </c>
      <c r="B2" s="7" t="s">
        <v>172</v>
      </c>
      <c r="C2" s="8" t="s">
        <v>178</v>
      </c>
      <c r="D2" s="8" t="s">
        <v>177</v>
      </c>
      <c r="E2" s="72" t="s">
        <v>176</v>
      </c>
      <c r="F2" s="8" t="s">
        <v>175</v>
      </c>
      <c r="G2" s="8" t="s">
        <v>173</v>
      </c>
      <c r="H2" s="8" t="s">
        <v>174</v>
      </c>
    </row>
    <row r="3" spans="1:8" s="17" customFormat="1" ht="34.049999999999997" customHeight="1" x14ac:dyDescent="0.25">
      <c r="A3" s="31"/>
      <c r="B3" s="31"/>
      <c r="C3" s="70"/>
      <c r="D3" s="31"/>
      <c r="E3" s="33"/>
      <c r="F3" s="32"/>
      <c r="G3" s="16" cm="1">
        <f t="array" ref="G3:G4">'Scorecard（English）'!I3:I4</f>
        <v>100</v>
      </c>
      <c r="H3" s="16" cm="1">
        <f t="array" ref="H3:H4">'Scorecard（English）'!O3:O4</f>
        <v>100</v>
      </c>
    </row>
    <row r="4" spans="1:8" ht="19.05" hidden="1" customHeight="1" x14ac:dyDescent="0.25">
      <c r="G4">
        <v>0</v>
      </c>
      <c r="H4">
        <v>0</v>
      </c>
    </row>
    <row r="6" spans="1:8" ht="13.8" thickBot="1" x14ac:dyDescent="0.3"/>
    <row r="7" spans="1:8" ht="33" customHeight="1" x14ac:dyDescent="0.25">
      <c r="A7" s="74" t="s">
        <v>166</v>
      </c>
      <c r="B7" s="75"/>
      <c r="C7" s="75"/>
      <c r="D7" s="75"/>
      <c r="E7" s="75"/>
      <c r="F7" s="76"/>
    </row>
    <row r="8" spans="1:8" ht="69.599999999999994" x14ac:dyDescent="0.25">
      <c r="A8" s="63" t="s">
        <v>84</v>
      </c>
      <c r="B8" s="64" t="s">
        <v>167</v>
      </c>
      <c r="C8" s="65" t="s">
        <v>169</v>
      </c>
      <c r="D8" s="65" t="s">
        <v>156</v>
      </c>
      <c r="E8" s="65" t="s">
        <v>155</v>
      </c>
      <c r="F8" s="67"/>
    </row>
    <row r="9" spans="1:8" s="17" customFormat="1" ht="18" x14ac:dyDescent="0.25">
      <c r="A9" s="73" t="s">
        <v>29</v>
      </c>
      <c r="B9" s="57" t="s">
        <v>85</v>
      </c>
      <c r="C9" s="58">
        <v>0</v>
      </c>
      <c r="D9" s="47"/>
      <c r="E9" s="48"/>
      <c r="F9" s="68"/>
    </row>
    <row r="10" spans="1:8" s="17" customFormat="1" ht="36" x14ac:dyDescent="0.25">
      <c r="A10" s="73"/>
      <c r="B10" s="57" t="s">
        <v>186</v>
      </c>
      <c r="C10" s="58">
        <v>0</v>
      </c>
      <c r="D10" s="47"/>
      <c r="E10" s="48"/>
      <c r="F10" s="68"/>
    </row>
    <row r="11" spans="1:8" s="17" customFormat="1" ht="18" x14ac:dyDescent="0.25">
      <c r="A11" s="73"/>
      <c r="B11" s="57" t="s">
        <v>86</v>
      </c>
      <c r="C11" s="58">
        <v>0</v>
      </c>
      <c r="D11" s="47"/>
      <c r="E11" s="48"/>
      <c r="F11" s="68"/>
    </row>
    <row r="12" spans="1:8" s="17" customFormat="1" ht="18" x14ac:dyDescent="0.25">
      <c r="A12" s="73" t="s">
        <v>30</v>
      </c>
      <c r="B12" s="57" t="s">
        <v>87</v>
      </c>
      <c r="C12" s="58">
        <v>0</v>
      </c>
      <c r="D12" s="47"/>
      <c r="E12" s="48"/>
      <c r="F12" s="68"/>
    </row>
    <row r="13" spans="1:8" s="17" customFormat="1" ht="18" x14ac:dyDescent="0.25">
      <c r="A13" s="73"/>
      <c r="B13" s="57" t="s">
        <v>185</v>
      </c>
      <c r="C13" s="58">
        <v>0</v>
      </c>
      <c r="D13" s="47"/>
      <c r="E13" s="48"/>
      <c r="F13" s="68"/>
    </row>
    <row r="14" spans="1:8" s="17" customFormat="1" ht="36" x14ac:dyDescent="0.25">
      <c r="A14" s="73"/>
      <c r="B14" s="57" t="s">
        <v>184</v>
      </c>
      <c r="C14" s="58">
        <v>0</v>
      </c>
      <c r="D14" s="47"/>
      <c r="E14" s="48"/>
      <c r="F14" s="68"/>
    </row>
    <row r="15" spans="1:8" s="17" customFormat="1" ht="36" x14ac:dyDescent="0.25">
      <c r="A15" s="77" t="s">
        <v>40</v>
      </c>
      <c r="B15" s="57" t="s">
        <v>183</v>
      </c>
      <c r="C15" s="58">
        <v>0</v>
      </c>
      <c r="D15" s="47"/>
      <c r="E15" s="48"/>
      <c r="F15" s="68"/>
    </row>
    <row r="16" spans="1:8" s="17" customFormat="1" ht="36" x14ac:dyDescent="0.25">
      <c r="A16" s="77"/>
      <c r="B16" s="57" t="s">
        <v>182</v>
      </c>
      <c r="C16" s="58">
        <v>0</v>
      </c>
      <c r="D16" s="49"/>
      <c r="E16" s="48"/>
      <c r="F16" s="68"/>
    </row>
    <row r="17" spans="1:9" s="17" customFormat="1" ht="18" x14ac:dyDescent="0.25">
      <c r="A17" s="77" t="s">
        <v>31</v>
      </c>
      <c r="B17" s="57" t="s">
        <v>181</v>
      </c>
      <c r="C17" s="58">
        <v>0</v>
      </c>
      <c r="D17" s="49"/>
      <c r="E17" s="48"/>
      <c r="F17" s="68"/>
    </row>
    <row r="18" spans="1:9" s="17" customFormat="1" ht="36" x14ac:dyDescent="0.25">
      <c r="A18" s="77"/>
      <c r="B18" s="57" t="s">
        <v>180</v>
      </c>
      <c r="C18" s="58">
        <v>0</v>
      </c>
      <c r="D18" s="49"/>
      <c r="E18" s="48"/>
      <c r="F18" s="68"/>
    </row>
    <row r="19" spans="1:9" s="17" customFormat="1" ht="129" customHeight="1" x14ac:dyDescent="0.25">
      <c r="A19" s="73" t="s">
        <v>32</v>
      </c>
      <c r="B19" s="59" t="s">
        <v>89</v>
      </c>
      <c r="C19" s="58">
        <v>0</v>
      </c>
      <c r="D19" s="49"/>
      <c r="E19" s="48"/>
      <c r="F19" s="68"/>
      <c r="I19" s="66"/>
    </row>
    <row r="20" spans="1:9" s="17" customFormat="1" ht="106.95" customHeight="1" x14ac:dyDescent="0.25">
      <c r="A20" s="73"/>
      <c r="B20" s="57" t="s">
        <v>88</v>
      </c>
      <c r="C20" s="58">
        <v>0</v>
      </c>
      <c r="D20" s="49"/>
      <c r="E20" s="48"/>
      <c r="F20" s="68"/>
      <c r="I20" s="66"/>
    </row>
    <row r="21" spans="1:9" s="17" customFormat="1" ht="73.95" customHeight="1" thickBot="1" x14ac:dyDescent="0.3">
      <c r="A21" s="60" t="s">
        <v>33</v>
      </c>
      <c r="B21" s="61" t="s">
        <v>179</v>
      </c>
      <c r="C21" s="62">
        <v>0</v>
      </c>
      <c r="D21" s="56"/>
      <c r="E21" s="55"/>
      <c r="F21" s="69"/>
    </row>
  </sheetData>
  <mergeCells count="6">
    <mergeCell ref="A12:A14"/>
    <mergeCell ref="A9:A11"/>
    <mergeCell ref="A7:F7"/>
    <mergeCell ref="A19:A20"/>
    <mergeCell ref="A15:A16"/>
    <mergeCell ref="A17:A18"/>
  </mergeCells>
  <phoneticPr fontId="11" type="noConversion"/>
  <dataValidations count="4">
    <dataValidation type="list" allowBlank="1" showInputMessage="1" showErrorMessage="1" sqref="F22:F1048576 F3:F6" xr:uid="{883135A0-CC96-437F-A83C-FC1AF967CFE7}">
      <formula1>"Prospect, Qualified, Tech Validation, Business Validation, Commited, Launched, Lost"</formula1>
    </dataValidation>
    <dataValidation type="list" allowBlank="1" showInputMessage="1" showErrorMessage="1" sqref="D22:D1048576 D3" xr:uid="{52049307-2A90-43ED-ACA2-70B7F826D3E3}">
      <formula1>"GenAI, Migration, Modernization, Migration and Modernization, Others"</formula1>
    </dataValidation>
    <dataValidation type="list" allowBlank="1" sqref="C9:C21" xr:uid="{01DE0AA0-562B-FA49-958F-5D344405B6BF}">
      <formula1>"10%, 20%, 30%, 40%, 50%, 60%, 70%, 80%, 90%, 100%"</formula1>
    </dataValidation>
    <dataValidation type="list" allowBlank="1" showInputMessage="1" showErrorMessage="1" sqref="C3" xr:uid="{E90A1653-9E02-794D-ACD9-8F9D7BAA5B54}">
      <formula1>"HK, China"</formula1>
    </dataValidation>
  </dataValidations>
  <pageMargins left="0.7" right="0.7" top="0.75" bottom="0.75" header="0.3" footer="0.3"/>
  <pageSetup paperSize="9" scale="5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1F8D-8ED1-7147-9E57-11835475B4A3}">
  <sheetPr>
    <outlinePr summaryBelow="0" summaryRight="0"/>
    <pageSetUpPr fitToPage="1"/>
  </sheetPr>
  <dimension ref="A1:CO1007"/>
  <sheetViews>
    <sheetView zoomScale="116" zoomScaleNormal="100" workbookViewId="0">
      <pane xSplit="4" ySplit="5" topLeftCell="R6" activePane="bottomRight" state="frozen"/>
      <selection pane="topRight" activeCell="C1" sqref="C1"/>
      <selection pane="bottomLeft" activeCell="A5" sqref="A5"/>
      <selection pane="bottomRight" activeCell="Q6" sqref="Q6:U6"/>
    </sheetView>
  </sheetViews>
  <sheetFormatPr defaultColWidth="14.44140625" defaultRowHeight="15" customHeight="1" x14ac:dyDescent="0.35"/>
  <cols>
    <col min="1" max="1" width="2.33203125" style="3" customWidth="1"/>
    <col min="2" max="2" width="3.77734375" style="3" customWidth="1"/>
    <col min="3" max="3" width="4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117</v>
      </c>
      <c r="C2" s="91"/>
      <c r="D2" s="92"/>
      <c r="E2" s="99" t="s">
        <v>118</v>
      </c>
      <c r="F2" s="100"/>
      <c r="G2" s="100"/>
      <c r="H2" s="100"/>
      <c r="I2" s="101"/>
      <c r="J2" s="30"/>
      <c r="K2" s="102" t="s">
        <v>119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104</v>
      </c>
      <c r="F3" s="9" t="s">
        <v>95</v>
      </c>
      <c r="G3" s="9" t="s">
        <v>96</v>
      </c>
      <c r="H3" s="9" t="s">
        <v>97</v>
      </c>
      <c r="I3" s="105">
        <f>SUM(E6,E11,E17,E22, E27, E32,E38,E43, )</f>
        <v>100</v>
      </c>
      <c r="K3" s="28" t="s">
        <v>104</v>
      </c>
      <c r="L3" s="9" t="s">
        <v>106</v>
      </c>
      <c r="M3" s="9" t="s">
        <v>96</v>
      </c>
      <c r="N3" s="9" t="s">
        <v>97</v>
      </c>
      <c r="O3" s="105">
        <f>SUM(K6,K11,K17, K22, K27, K32,K38,K43)</f>
        <v>100</v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78</v>
      </c>
      <c r="G4" s="26" t="s">
        <v>99</v>
      </c>
      <c r="H4" s="26" t="s">
        <v>98</v>
      </c>
      <c r="I4" s="106"/>
      <c r="J4" s="27"/>
      <c r="K4" s="29" t="s">
        <v>35</v>
      </c>
      <c r="L4" s="26" t="s">
        <v>78</v>
      </c>
      <c r="M4" s="26" t="s">
        <v>99</v>
      </c>
      <c r="N4" s="26" t="s">
        <v>98</v>
      </c>
      <c r="O4" s="106"/>
      <c r="Q4" s="107" t="s">
        <v>83</v>
      </c>
      <c r="R4" s="107"/>
      <c r="S4" s="107"/>
      <c r="T4" s="107"/>
      <c r="U4" s="107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149</v>
      </c>
      <c r="R5" s="12" t="s">
        <v>150</v>
      </c>
      <c r="S5" s="12" t="s">
        <v>151</v>
      </c>
      <c r="T5" s="12" t="s">
        <v>3</v>
      </c>
      <c r="U5" s="12" t="s">
        <v>152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11" t="s">
        <v>128</v>
      </c>
      <c r="C6" s="111"/>
      <c r="D6" s="24" t="s">
        <v>101</v>
      </c>
      <c r="E6" s="86">
        <f>SUM(J7:J9)</f>
        <v>12</v>
      </c>
      <c r="F6" s="87"/>
      <c r="G6" s="87"/>
      <c r="H6" s="87"/>
      <c r="I6" s="88"/>
      <c r="J6" s="20"/>
      <c r="K6" s="86">
        <f>SUM(P7:P9)</f>
        <v>12</v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11"/>
      <c r="C7" s="111"/>
      <c r="D7" s="25" t="s">
        <v>122</v>
      </c>
      <c r="E7" s="89" t="s">
        <v>7</v>
      </c>
      <c r="F7" s="87"/>
      <c r="G7" s="87"/>
      <c r="H7" s="87"/>
      <c r="I7" s="88"/>
      <c r="J7" s="21">
        <f t="shared" ref="J7:J9" si="0">IF(E7 = "Yes",4,0)</f>
        <v>4</v>
      </c>
      <c r="K7" s="89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11"/>
      <c r="C8" s="111"/>
      <c r="D8" s="25" t="s">
        <v>121</v>
      </c>
      <c r="E8" s="89" t="s">
        <v>7</v>
      </c>
      <c r="F8" s="87"/>
      <c r="G8" s="87"/>
      <c r="H8" s="87"/>
      <c r="I8" s="88"/>
      <c r="J8" s="21">
        <f t="shared" si="0"/>
        <v>4</v>
      </c>
      <c r="K8" s="89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11"/>
      <c r="C9" s="111"/>
      <c r="D9" s="25" t="s">
        <v>120</v>
      </c>
      <c r="E9" s="89" t="s">
        <v>7</v>
      </c>
      <c r="F9" s="87"/>
      <c r="G9" s="87"/>
      <c r="H9" s="87"/>
      <c r="I9" s="88"/>
      <c r="J9" s="21">
        <f t="shared" si="0"/>
        <v>4</v>
      </c>
      <c r="K9" s="89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C10" s="22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38"/>
      <c r="B11" s="80" t="s">
        <v>128</v>
      </c>
      <c r="C11" s="81"/>
      <c r="D11" s="24" t="s">
        <v>102</v>
      </c>
      <c r="E11" s="86">
        <f>SUM(J12:J15)</f>
        <v>13</v>
      </c>
      <c r="F11" s="87"/>
      <c r="G11" s="87"/>
      <c r="H11" s="87"/>
      <c r="I11" s="88"/>
      <c r="J11" s="20"/>
      <c r="K11" s="86">
        <f>SUM(P12:P15)</f>
        <v>13</v>
      </c>
      <c r="L11" s="87"/>
      <c r="M11" s="87"/>
      <c r="N11" s="87"/>
      <c r="O11" s="88"/>
      <c r="P11" s="20"/>
      <c r="Q11" s="86"/>
      <c r="R11" s="87"/>
      <c r="S11" s="87"/>
      <c r="T11" s="87"/>
      <c r="U11" s="8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38"/>
      <c r="B12" s="82"/>
      <c r="C12" s="83"/>
      <c r="D12" s="25" t="s">
        <v>103</v>
      </c>
      <c r="E12" s="89" t="s">
        <v>7</v>
      </c>
      <c r="F12" s="87"/>
      <c r="G12" s="87"/>
      <c r="H12" s="87"/>
      <c r="I12" s="88"/>
      <c r="J12" s="21">
        <f>IF(E12 = "Yes",3,0)</f>
        <v>3</v>
      </c>
      <c r="K12" s="89" t="s">
        <v>7</v>
      </c>
      <c r="L12" s="87"/>
      <c r="M12" s="87"/>
      <c r="N12" s="87"/>
      <c r="O12" s="88"/>
      <c r="P12" s="21">
        <f>IF(K12 = "Yes",3,0)</f>
        <v>3</v>
      </c>
      <c r="Q12" s="14"/>
      <c r="R12" s="15"/>
      <c r="S12" s="15"/>
      <c r="T12" s="15"/>
      <c r="U12" s="15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4.799999999999997" x14ac:dyDescent="0.25">
      <c r="A13" s="38"/>
      <c r="B13" s="82"/>
      <c r="C13" s="83"/>
      <c r="D13" s="25" t="s">
        <v>123</v>
      </c>
      <c r="E13" s="89" t="s">
        <v>7</v>
      </c>
      <c r="F13" s="87"/>
      <c r="G13" s="87"/>
      <c r="H13" s="87"/>
      <c r="I13" s="88"/>
      <c r="J13" s="21">
        <f>IF(E13 = "Yes",1,0)</f>
        <v>1</v>
      </c>
      <c r="K13" s="89" t="s">
        <v>7</v>
      </c>
      <c r="L13" s="87"/>
      <c r="M13" s="87"/>
      <c r="N13" s="87"/>
      <c r="O13" s="88"/>
      <c r="P13" s="21">
        <f>IF(K13 = "Yes",1,0)</f>
        <v>1</v>
      </c>
      <c r="Q13" s="14"/>
      <c r="R13" s="15"/>
      <c r="S13" s="15"/>
      <c r="T13" s="15"/>
      <c r="U13" s="15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38"/>
      <c r="B14" s="82"/>
      <c r="C14" s="83"/>
      <c r="D14" s="25" t="s">
        <v>124</v>
      </c>
      <c r="E14" s="89" t="s">
        <v>7</v>
      </c>
      <c r="F14" s="87"/>
      <c r="G14" s="87"/>
      <c r="H14" s="87"/>
      <c r="I14" s="88"/>
      <c r="J14" s="21">
        <f t="shared" ref="J14" si="2">IF(E14 = "Yes",4,0)</f>
        <v>4</v>
      </c>
      <c r="K14" s="89" t="s">
        <v>7</v>
      </c>
      <c r="L14" s="87"/>
      <c r="M14" s="87"/>
      <c r="N14" s="87"/>
      <c r="O14" s="88"/>
      <c r="P14" s="21">
        <f t="shared" ref="P14" si="3">IF(K14 = "Yes",4,0)</f>
        <v>4</v>
      </c>
      <c r="Q14" s="14"/>
      <c r="R14" s="15"/>
      <c r="S14" s="15"/>
      <c r="T14" s="15"/>
      <c r="U14" s="15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38"/>
      <c r="B15" s="84"/>
      <c r="C15" s="85"/>
      <c r="D15" s="25" t="s">
        <v>125</v>
      </c>
      <c r="E15" s="89" t="s">
        <v>7</v>
      </c>
      <c r="F15" s="87"/>
      <c r="G15" s="87"/>
      <c r="H15" s="87"/>
      <c r="I15" s="88"/>
      <c r="J15" s="21">
        <f>IF(E15 = "Yes",5,0)</f>
        <v>5</v>
      </c>
      <c r="K15" s="89" t="s">
        <v>7</v>
      </c>
      <c r="L15" s="87"/>
      <c r="M15" s="87"/>
      <c r="N15" s="87"/>
      <c r="O15" s="88"/>
      <c r="P15" s="21">
        <f>IF(K15 = "Yes",5,0)</f>
        <v>5</v>
      </c>
      <c r="Q15" s="14"/>
      <c r="R15" s="15"/>
      <c r="S15" s="15"/>
      <c r="T15" s="15"/>
      <c r="U15" s="15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C16" s="23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80" t="s">
        <v>128</v>
      </c>
      <c r="C17" s="81"/>
      <c r="D17" s="24" t="s">
        <v>107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82"/>
      <c r="C18" s="83"/>
      <c r="D18" s="25" t="s">
        <v>126</v>
      </c>
      <c r="E18" s="89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89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4.799999999999997" x14ac:dyDescent="0.25">
      <c r="A19" s="38"/>
      <c r="B19" s="82"/>
      <c r="C19" s="83"/>
      <c r="D19" s="25" t="s">
        <v>105</v>
      </c>
      <c r="E19" s="89" t="s">
        <v>7</v>
      </c>
      <c r="F19" s="87"/>
      <c r="G19" s="87"/>
      <c r="H19" s="87"/>
      <c r="I19" s="88"/>
      <c r="J19" s="21">
        <f t="shared" si="4"/>
        <v>4</v>
      </c>
      <c r="K19" s="89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84"/>
      <c r="C20" s="85"/>
      <c r="D20" s="25" t="s">
        <v>127</v>
      </c>
      <c r="E20" s="89" t="s">
        <v>7</v>
      </c>
      <c r="F20" s="87"/>
      <c r="G20" s="87"/>
      <c r="H20" s="87"/>
      <c r="I20" s="88"/>
      <c r="J20" s="21">
        <f>IF(E20 = "Yes",5,0)</f>
        <v>5</v>
      </c>
      <c r="K20" s="89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C21" s="23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38"/>
      <c r="B22" s="113" t="s">
        <v>130</v>
      </c>
      <c r="C22" s="114"/>
      <c r="D22" s="24" t="s">
        <v>108</v>
      </c>
      <c r="E22" s="86">
        <f>SUM(J23:J25)</f>
        <v>12</v>
      </c>
      <c r="F22" s="87"/>
      <c r="G22" s="87"/>
      <c r="H22" s="87"/>
      <c r="I22" s="88"/>
      <c r="J22" s="20"/>
      <c r="K22" s="86">
        <f>SUM(P23:P25)</f>
        <v>12</v>
      </c>
      <c r="L22" s="87"/>
      <c r="M22" s="87"/>
      <c r="N22" s="87"/>
      <c r="O22" s="88"/>
      <c r="P22" s="20"/>
      <c r="Q22" s="86"/>
      <c r="R22" s="87"/>
      <c r="S22" s="87"/>
      <c r="T22" s="87"/>
      <c r="U22" s="8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38"/>
      <c r="B23" s="115"/>
      <c r="C23" s="116"/>
      <c r="D23" s="25" t="s">
        <v>132</v>
      </c>
      <c r="E23" s="89" t="s">
        <v>7</v>
      </c>
      <c r="F23" s="87"/>
      <c r="G23" s="87"/>
      <c r="H23" s="87"/>
      <c r="I23" s="88"/>
      <c r="J23" s="21">
        <f t="shared" ref="J23:J25" si="6">IF(E23 = "Yes",4,0)</f>
        <v>4</v>
      </c>
      <c r="K23" s="89" t="s">
        <v>7</v>
      </c>
      <c r="L23" s="87"/>
      <c r="M23" s="87"/>
      <c r="N23" s="87"/>
      <c r="O23" s="88"/>
      <c r="P23" s="21">
        <f t="shared" ref="P23:P25" si="7">IF(K23 = "Yes",4,0)</f>
        <v>4</v>
      </c>
      <c r="Q23" s="14"/>
      <c r="R23" s="15"/>
      <c r="S23" s="15"/>
      <c r="T23" s="15"/>
      <c r="U23" s="15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38"/>
      <c r="B24" s="115"/>
      <c r="C24" s="116"/>
      <c r="D24" s="25" t="s">
        <v>133</v>
      </c>
      <c r="E24" s="89" t="s">
        <v>7</v>
      </c>
      <c r="F24" s="87"/>
      <c r="G24" s="87"/>
      <c r="H24" s="87"/>
      <c r="I24" s="88"/>
      <c r="J24" s="21">
        <f t="shared" si="6"/>
        <v>4</v>
      </c>
      <c r="K24" s="89" t="s">
        <v>7</v>
      </c>
      <c r="L24" s="87"/>
      <c r="M24" s="87"/>
      <c r="N24" s="87"/>
      <c r="O24" s="88"/>
      <c r="P24" s="21">
        <f t="shared" si="7"/>
        <v>4</v>
      </c>
      <c r="Q24" s="14"/>
      <c r="R24" s="15"/>
      <c r="S24" s="15"/>
      <c r="T24" s="15"/>
      <c r="U24" s="15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38"/>
      <c r="B25" s="117"/>
      <c r="C25" s="118"/>
      <c r="D25" s="25" t="s">
        <v>134</v>
      </c>
      <c r="E25" s="89" t="s">
        <v>7</v>
      </c>
      <c r="F25" s="87"/>
      <c r="G25" s="87"/>
      <c r="H25" s="87"/>
      <c r="I25" s="88"/>
      <c r="J25" s="21">
        <f t="shared" si="6"/>
        <v>4</v>
      </c>
      <c r="K25" s="89" t="s">
        <v>7</v>
      </c>
      <c r="L25" s="87"/>
      <c r="M25" s="87"/>
      <c r="N25" s="87"/>
      <c r="O25" s="88"/>
      <c r="P25" s="21">
        <f t="shared" si="7"/>
        <v>4</v>
      </c>
      <c r="Q25" s="14"/>
      <c r="R25" s="15"/>
      <c r="S25" s="15"/>
      <c r="T25" s="15"/>
      <c r="U25" s="15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21" t="s">
        <v>129</v>
      </c>
      <c r="C27" s="111" t="s">
        <v>128</v>
      </c>
      <c r="D27" s="24" t="s">
        <v>109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21"/>
      <c r="C28" s="111"/>
      <c r="D28" s="25" t="s">
        <v>135</v>
      </c>
      <c r="E28" s="89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89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21"/>
      <c r="C29" s="111"/>
      <c r="D29" s="25" t="s">
        <v>136</v>
      </c>
      <c r="E29" s="89" t="s">
        <v>7</v>
      </c>
      <c r="F29" s="87"/>
      <c r="G29" s="87"/>
      <c r="H29" s="87"/>
      <c r="I29" s="88"/>
      <c r="J29" s="21">
        <f t="shared" si="8"/>
        <v>4</v>
      </c>
      <c r="K29" s="89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21"/>
      <c r="C30" s="111"/>
      <c r="D30" s="25" t="s">
        <v>137</v>
      </c>
      <c r="E30" s="89" t="s">
        <v>7</v>
      </c>
      <c r="F30" s="87"/>
      <c r="G30" s="87"/>
      <c r="H30" s="87"/>
      <c r="I30" s="88"/>
      <c r="J30" s="21">
        <f t="shared" si="8"/>
        <v>4</v>
      </c>
      <c r="K30" s="89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21" t="s">
        <v>129</v>
      </c>
      <c r="C32" s="121"/>
      <c r="D32" s="24" t="s">
        <v>110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21"/>
      <c r="C33" s="121"/>
      <c r="D33" s="25" t="s">
        <v>138</v>
      </c>
      <c r="E33" s="89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89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21"/>
      <c r="C34" s="121"/>
      <c r="D34" s="25" t="s">
        <v>139</v>
      </c>
      <c r="E34" s="89" t="s">
        <v>7</v>
      </c>
      <c r="F34" s="87"/>
      <c r="G34" s="87"/>
      <c r="H34" s="87"/>
      <c r="I34" s="88"/>
      <c r="J34" s="21">
        <f t="shared" si="10"/>
        <v>3</v>
      </c>
      <c r="K34" s="89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21"/>
      <c r="C35" s="121"/>
      <c r="D35" s="25" t="s">
        <v>140</v>
      </c>
      <c r="E35" s="89" t="s">
        <v>7</v>
      </c>
      <c r="F35" s="87"/>
      <c r="G35" s="87"/>
      <c r="H35" s="87"/>
      <c r="I35" s="88"/>
      <c r="J35" s="21">
        <f t="shared" si="10"/>
        <v>3</v>
      </c>
      <c r="K35" s="89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21"/>
      <c r="C36" s="121"/>
      <c r="D36" s="25" t="s">
        <v>141</v>
      </c>
      <c r="E36" s="89" t="s">
        <v>7</v>
      </c>
      <c r="F36" s="87"/>
      <c r="G36" s="87"/>
      <c r="H36" s="87"/>
      <c r="I36" s="88"/>
      <c r="J36" s="21">
        <f>IF(E36 = "Yes",4,0)</f>
        <v>4</v>
      </c>
      <c r="K36" s="89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C37" s="23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21" t="s">
        <v>129</v>
      </c>
      <c r="C38" s="121"/>
      <c r="D38" s="24" t="s">
        <v>111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21"/>
      <c r="C39" s="121"/>
      <c r="D39" s="25" t="s">
        <v>142</v>
      </c>
      <c r="E39" s="89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89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21"/>
      <c r="C40" s="121"/>
      <c r="D40" s="25" t="s">
        <v>143</v>
      </c>
      <c r="E40" s="89" t="s">
        <v>7</v>
      </c>
      <c r="F40" s="87"/>
      <c r="G40" s="87"/>
      <c r="H40" s="87"/>
      <c r="I40" s="88"/>
      <c r="J40" s="21">
        <f t="shared" si="12"/>
        <v>4</v>
      </c>
      <c r="K40" s="89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21"/>
      <c r="C41" s="121"/>
      <c r="D41" s="25" t="s">
        <v>144</v>
      </c>
      <c r="E41" s="89" t="s">
        <v>7</v>
      </c>
      <c r="F41" s="87"/>
      <c r="G41" s="87"/>
      <c r="H41" s="87"/>
      <c r="I41" s="88"/>
      <c r="J41" s="21">
        <f>IF(E41 = "Yes",5,0)</f>
        <v>5</v>
      </c>
      <c r="K41" s="89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C42" s="23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38"/>
      <c r="B43" s="121" t="s">
        <v>129</v>
      </c>
      <c r="C43" s="121"/>
      <c r="D43" s="24" t="s">
        <v>14</v>
      </c>
      <c r="E43" s="86">
        <f>SUM(J44:J46)</f>
        <v>12</v>
      </c>
      <c r="F43" s="87"/>
      <c r="G43" s="87"/>
      <c r="H43" s="87"/>
      <c r="I43" s="88"/>
      <c r="J43" s="20"/>
      <c r="K43" s="86">
        <f>SUM(P44:P46)</f>
        <v>12</v>
      </c>
      <c r="L43" s="87"/>
      <c r="M43" s="87"/>
      <c r="N43" s="87"/>
      <c r="O43" s="88"/>
      <c r="P43" s="20"/>
      <c r="Q43" s="86"/>
      <c r="R43" s="87"/>
      <c r="S43" s="87"/>
      <c r="T43" s="87"/>
      <c r="U43" s="8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13" customFormat="1" ht="34.799999999999997" x14ac:dyDescent="0.25">
      <c r="A44" s="38"/>
      <c r="B44" s="121"/>
      <c r="C44" s="121"/>
      <c r="D44" s="25" t="s">
        <v>145</v>
      </c>
      <c r="E44" s="89" t="s">
        <v>7</v>
      </c>
      <c r="F44" s="87"/>
      <c r="G44" s="87"/>
      <c r="H44" s="87"/>
      <c r="I44" s="88"/>
      <c r="J44" s="21">
        <f t="shared" ref="J44:J45" si="14">IF(E44 = "Yes",4,0)</f>
        <v>4</v>
      </c>
      <c r="K44" s="89" t="s">
        <v>7</v>
      </c>
      <c r="L44" s="87"/>
      <c r="M44" s="87"/>
      <c r="N44" s="87"/>
      <c r="O44" s="88"/>
      <c r="P44" s="21">
        <f t="shared" ref="P44:P45" si="15">IF(K44 = "Yes",4,0)</f>
        <v>4</v>
      </c>
      <c r="Q44" s="14"/>
      <c r="R44" s="15"/>
      <c r="S44" s="15"/>
      <c r="T44" s="15"/>
      <c r="U44" s="15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</row>
    <row r="45" spans="1:93" s="13" customFormat="1" ht="34.799999999999997" x14ac:dyDescent="0.25">
      <c r="A45" s="38"/>
      <c r="B45" s="121"/>
      <c r="C45" s="121"/>
      <c r="D45" s="25" t="s">
        <v>146</v>
      </c>
      <c r="E45" s="89" t="s">
        <v>7</v>
      </c>
      <c r="F45" s="87"/>
      <c r="G45" s="87"/>
      <c r="H45" s="87"/>
      <c r="I45" s="88"/>
      <c r="J45" s="21">
        <f t="shared" si="14"/>
        <v>4</v>
      </c>
      <c r="K45" s="89" t="s">
        <v>7</v>
      </c>
      <c r="L45" s="87"/>
      <c r="M45" s="87"/>
      <c r="N45" s="87"/>
      <c r="O45" s="88"/>
      <c r="P45" s="21">
        <f t="shared" si="15"/>
        <v>4</v>
      </c>
      <c r="Q45" s="14"/>
      <c r="R45" s="15"/>
      <c r="S45" s="15"/>
      <c r="T45" s="15"/>
      <c r="U45" s="15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38"/>
      <c r="B46" s="121"/>
      <c r="C46" s="121"/>
      <c r="D46" s="25" t="s">
        <v>147</v>
      </c>
      <c r="E46" s="89" t="s">
        <v>7</v>
      </c>
      <c r="F46" s="87"/>
      <c r="G46" s="87"/>
      <c r="H46" s="87"/>
      <c r="I46" s="88"/>
      <c r="J46" s="21">
        <f>IF(E46 = "Yes",4,0)</f>
        <v>4</v>
      </c>
      <c r="K46" s="89" t="s">
        <v>7</v>
      </c>
      <c r="L46" s="87"/>
      <c r="M46" s="87"/>
      <c r="N46" s="87"/>
      <c r="O46" s="88"/>
      <c r="P46" s="21">
        <f>IF(K46 = "Yes",4,0)</f>
        <v>4</v>
      </c>
      <c r="Q46" s="14"/>
      <c r="R46" s="15"/>
      <c r="S46" s="15"/>
      <c r="T46" s="15"/>
      <c r="U46" s="15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mergeCells count="109">
    <mergeCell ref="E46:I46"/>
    <mergeCell ref="K46:O46"/>
    <mergeCell ref="K47:P47"/>
    <mergeCell ref="E50:I50"/>
    <mergeCell ref="E42:I42"/>
    <mergeCell ref="K42:P42"/>
    <mergeCell ref="B43:C46"/>
    <mergeCell ref="E43:I43"/>
    <mergeCell ref="K43:O43"/>
    <mergeCell ref="Q43:U43"/>
    <mergeCell ref="E44:I44"/>
    <mergeCell ref="K44:O44"/>
    <mergeCell ref="E45:I45"/>
    <mergeCell ref="K45:O45"/>
    <mergeCell ref="B38:C41"/>
    <mergeCell ref="E38:I38"/>
    <mergeCell ref="K38:O38"/>
    <mergeCell ref="Q38:U38"/>
    <mergeCell ref="E39:I39"/>
    <mergeCell ref="K39:O39"/>
    <mergeCell ref="E40:I40"/>
    <mergeCell ref="K40:O40"/>
    <mergeCell ref="E41:I41"/>
    <mergeCell ref="K41:O41"/>
    <mergeCell ref="E35:I35"/>
    <mergeCell ref="K35:O35"/>
    <mergeCell ref="E36:I36"/>
    <mergeCell ref="K36:O36"/>
    <mergeCell ref="D37:I37"/>
    <mergeCell ref="K37:P37"/>
    <mergeCell ref="E31:I31"/>
    <mergeCell ref="K31:O31"/>
    <mergeCell ref="B32:C36"/>
    <mergeCell ref="E32:I32"/>
    <mergeCell ref="K32:O32"/>
    <mergeCell ref="Q32:U32"/>
    <mergeCell ref="E33:I33"/>
    <mergeCell ref="K33:O33"/>
    <mergeCell ref="E34:I34"/>
    <mergeCell ref="K34:O34"/>
    <mergeCell ref="Q27:U27"/>
    <mergeCell ref="E28:I28"/>
    <mergeCell ref="K28:O28"/>
    <mergeCell ref="E29:I29"/>
    <mergeCell ref="K29:O29"/>
    <mergeCell ref="E30:I30"/>
    <mergeCell ref="K30:O30"/>
    <mergeCell ref="E26:I26"/>
    <mergeCell ref="K26:O26"/>
    <mergeCell ref="B27:B30"/>
    <mergeCell ref="C27:C30"/>
    <mergeCell ref="E27:I27"/>
    <mergeCell ref="K27:O27"/>
    <mergeCell ref="Q22:U22"/>
    <mergeCell ref="E23:I23"/>
    <mergeCell ref="K23:O23"/>
    <mergeCell ref="E24:I24"/>
    <mergeCell ref="K24:O24"/>
    <mergeCell ref="E25:I25"/>
    <mergeCell ref="K25:O25"/>
    <mergeCell ref="E20:I20"/>
    <mergeCell ref="K20:O20"/>
    <mergeCell ref="E21:I21"/>
    <mergeCell ref="K21:O21"/>
    <mergeCell ref="B22:C25"/>
    <mergeCell ref="E22:I22"/>
    <mergeCell ref="K22:O22"/>
    <mergeCell ref="E16:I16"/>
    <mergeCell ref="K16:P16"/>
    <mergeCell ref="B17:C20"/>
    <mergeCell ref="E17:I17"/>
    <mergeCell ref="K17:O17"/>
    <mergeCell ref="E19:I19"/>
    <mergeCell ref="K19:O19"/>
    <mergeCell ref="B2:D4"/>
    <mergeCell ref="E2:I2"/>
    <mergeCell ref="K2:O2"/>
    <mergeCell ref="I3:I4"/>
    <mergeCell ref="O3:O4"/>
    <mergeCell ref="Q4:U4"/>
    <mergeCell ref="E5:I5"/>
    <mergeCell ref="K5:O5"/>
    <mergeCell ref="B6:C9"/>
    <mergeCell ref="E6:I6"/>
    <mergeCell ref="K6:O6"/>
    <mergeCell ref="Q6:U6"/>
    <mergeCell ref="E7:I7"/>
    <mergeCell ref="K7:O7"/>
    <mergeCell ref="E8:I8"/>
    <mergeCell ref="K8:O8"/>
    <mergeCell ref="E9:I9"/>
    <mergeCell ref="K9:O9"/>
    <mergeCell ref="E10:I10"/>
    <mergeCell ref="K10:O10"/>
    <mergeCell ref="B11:C15"/>
    <mergeCell ref="E11:I11"/>
    <mergeCell ref="K11:O11"/>
    <mergeCell ref="E15:I15"/>
    <mergeCell ref="K15:O15"/>
    <mergeCell ref="Q17:U17"/>
    <mergeCell ref="E18:I18"/>
    <mergeCell ref="K18:O18"/>
    <mergeCell ref="Q11:U11"/>
    <mergeCell ref="E12:I12"/>
    <mergeCell ref="K12:O12"/>
    <mergeCell ref="E13:I13"/>
    <mergeCell ref="K13:O13"/>
    <mergeCell ref="E14:I14"/>
    <mergeCell ref="K14:O14"/>
  </mergeCells>
  <phoneticPr fontId="11" type="noConversion"/>
  <conditionalFormatting sqref="E3">
    <cfRule type="expression" dxfId="161" priority="22">
      <formula>$E$11 &gt; 12</formula>
    </cfRule>
    <cfRule type="expression" dxfId="160" priority="31">
      <formula>$E$11&lt;7</formula>
    </cfRule>
    <cfRule type="expression" dxfId="159" priority="29">
      <formula>$E$11 &gt;6</formula>
    </cfRule>
  </conditionalFormatting>
  <conditionalFormatting sqref="E4">
    <cfRule type="expression" dxfId="158" priority="26">
      <formula>$E$43 &gt; 11</formula>
    </cfRule>
    <cfRule type="expression" dxfId="157" priority="38">
      <formula>$E$43&lt;7</formula>
    </cfRule>
    <cfRule type="expression" dxfId="156" priority="37">
      <formula>$E$43 &gt;6</formula>
    </cfRule>
  </conditionalFormatting>
  <conditionalFormatting sqref="F3">
    <cfRule type="expression" dxfId="155" priority="23">
      <formula>$E$17 &gt; 12</formula>
    </cfRule>
    <cfRule type="expression" dxfId="154" priority="33">
      <formula>$E$17&lt;7</formula>
    </cfRule>
    <cfRule type="expression" dxfId="153" priority="32">
      <formula>$E$17 &gt;6</formula>
    </cfRule>
  </conditionalFormatting>
  <conditionalFormatting sqref="F4">
    <cfRule type="expression" dxfId="152" priority="27" stopIfTrue="1">
      <formula>$E$6 &gt; 11</formula>
    </cfRule>
    <cfRule type="expression" dxfId="151" priority="40" stopIfTrue="1">
      <formula>$E$6&lt;7</formula>
    </cfRule>
    <cfRule type="expression" dxfId="150" priority="39" stopIfTrue="1">
      <formula>$E$6 &gt;6</formula>
    </cfRule>
  </conditionalFormatting>
  <conditionalFormatting sqref="G3">
    <cfRule type="expression" dxfId="149" priority="24">
      <formula>$E$32 &gt; 12</formula>
    </cfRule>
    <cfRule type="expression" dxfId="148" priority="34">
      <formula>$E$32&lt;7</formula>
    </cfRule>
    <cfRule type="expression" dxfId="147" priority="30">
      <formula>$E$32 &gt;6</formula>
    </cfRule>
  </conditionalFormatting>
  <conditionalFormatting sqref="G4">
    <cfRule type="expression" dxfId="146" priority="42">
      <formula>$E$22 &lt;7</formula>
    </cfRule>
    <cfRule type="expression" dxfId="145" priority="41" stopIfTrue="1">
      <formula>$E$22 &gt;6</formula>
    </cfRule>
    <cfRule type="expression" dxfId="144" priority="28" stopIfTrue="1">
      <formula>$E$22 &gt; 11</formula>
    </cfRule>
  </conditionalFormatting>
  <conditionalFormatting sqref="H3">
    <cfRule type="expression" dxfId="143" priority="25">
      <formula>$E$38 &gt; 12</formula>
    </cfRule>
    <cfRule type="expression" dxfId="142" priority="36">
      <formula>$E$38&lt;7</formula>
    </cfRule>
    <cfRule type="expression" dxfId="141" priority="35">
      <formula>$E$38 &gt;6</formula>
    </cfRule>
  </conditionalFormatting>
  <conditionalFormatting sqref="H4">
    <cfRule type="expression" dxfId="140" priority="48">
      <formula>$E$27&lt;7</formula>
    </cfRule>
    <cfRule type="expression" dxfId="139" priority="46">
      <formula>$E$27 &gt; 11</formula>
    </cfRule>
    <cfRule type="expression" dxfId="138" priority="47">
      <formula>$E$27 &gt;6</formula>
    </cfRule>
  </conditionalFormatting>
  <conditionalFormatting sqref="I3:I4">
    <cfRule type="cellIs" dxfId="137" priority="43" operator="lessThanOrEqual">
      <formula>60</formula>
    </cfRule>
    <cfRule type="cellIs" dxfId="136" priority="44" operator="between">
      <formula>61</formula>
      <formula>99</formula>
    </cfRule>
    <cfRule type="cellIs" dxfId="135" priority="45" operator="equal">
      <formula>100</formula>
    </cfRule>
  </conditionalFormatting>
  <conditionalFormatting sqref="K3">
    <cfRule type="expression" dxfId="134" priority="4">
      <formula>$K$11 &gt; 12</formula>
    </cfRule>
    <cfRule type="expression" dxfId="133" priority="11">
      <formula>$K$11&lt;7</formula>
    </cfRule>
    <cfRule type="expression" dxfId="132" priority="9">
      <formula>$K$11 &gt;6</formula>
    </cfRule>
  </conditionalFormatting>
  <conditionalFormatting sqref="K4">
    <cfRule type="expression" dxfId="131" priority="18">
      <formula>$K$43&lt;7</formula>
    </cfRule>
    <cfRule type="expression" dxfId="130" priority="17">
      <formula>$K$43 &gt;6</formula>
    </cfRule>
    <cfRule type="expression" dxfId="129" priority="8">
      <formula>$K$43 &gt; 11</formula>
    </cfRule>
  </conditionalFormatting>
  <conditionalFormatting sqref="L3">
    <cfRule type="expression" dxfId="128" priority="13">
      <formula>$K$17&lt;7</formula>
    </cfRule>
    <cfRule type="expression" dxfId="127" priority="5">
      <formula>$K$17 &gt; 12</formula>
    </cfRule>
    <cfRule type="expression" dxfId="126" priority="12">
      <formula>$K$17 &gt;6</formula>
    </cfRule>
  </conditionalFormatting>
  <conditionalFormatting sqref="L4">
    <cfRule type="expression" dxfId="125" priority="2">
      <formula>$K$6 &gt;6</formula>
    </cfRule>
    <cfRule type="expression" dxfId="124" priority="3">
      <formula>$K$6&lt;7</formula>
    </cfRule>
    <cfRule type="expression" dxfId="123" priority="1">
      <formula>$K$6 &gt; 11</formula>
    </cfRule>
  </conditionalFormatting>
  <conditionalFormatting sqref="M3">
    <cfRule type="expression" dxfId="122" priority="6">
      <formula>$K$32 &gt; 12</formula>
    </cfRule>
    <cfRule type="expression" dxfId="121" priority="14">
      <formula>$K$32&lt;7</formula>
    </cfRule>
    <cfRule type="expression" dxfId="120" priority="10">
      <formula>$K$32 &gt;6</formula>
    </cfRule>
  </conditionalFormatting>
  <conditionalFormatting sqref="M4">
    <cfRule type="expression" dxfId="119" priority="52" stopIfTrue="1">
      <formula>$K$22 &gt; 11</formula>
    </cfRule>
    <cfRule type="expression" dxfId="118" priority="53" stopIfTrue="1">
      <formula>$K$22 &gt;6</formula>
    </cfRule>
    <cfRule type="expression" dxfId="117" priority="54" stopIfTrue="1">
      <formula>$K$22 &lt;7</formula>
    </cfRule>
  </conditionalFormatting>
  <conditionalFormatting sqref="N3">
    <cfRule type="expression" dxfId="116" priority="16">
      <formula>$K$38&lt;7</formula>
    </cfRule>
    <cfRule type="expression" dxfId="115" priority="15">
      <formula>$K$38 &gt;6</formula>
    </cfRule>
    <cfRule type="expression" dxfId="114" priority="7">
      <formula>$K$38 &gt; 12</formula>
    </cfRule>
  </conditionalFormatting>
  <conditionalFormatting sqref="N4">
    <cfRule type="expression" dxfId="113" priority="49">
      <formula>$K$27 &gt; 11</formula>
    </cfRule>
    <cfRule type="expression" dxfId="112" priority="50">
      <formula>$K$27 &gt;6</formula>
    </cfRule>
    <cfRule type="expression" dxfId="111" priority="51">
      <formula>$K$27&lt;7</formula>
    </cfRule>
  </conditionalFormatting>
  <conditionalFormatting sqref="O3:O4">
    <cfRule type="cellIs" dxfId="110" priority="19" operator="lessThanOrEqual">
      <formula>60</formula>
    </cfRule>
    <cfRule type="cellIs" dxfId="109" priority="21" operator="equal">
      <formula>100</formula>
    </cfRule>
    <cfRule type="cellIs" dxfId="108" priority="20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9D074FFD-A83D-264F-A006-16C5CB51D231}">
      <formula1>"Yes,No"</formula1>
    </dataValidation>
  </dataValidations>
  <pageMargins left="0.25" right="0.25" top="0.75" bottom="0.75" header="0.3" footer="0.3"/>
  <pageSetup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B7D7-B2BF-6C4A-AB57-6F4E56130C75}">
  <sheetPr>
    <outlinePr summaryBelow="0" summaryRight="0"/>
    <pageSetUpPr fitToPage="1"/>
  </sheetPr>
  <dimension ref="A1:CO1007"/>
  <sheetViews>
    <sheetView tabSelected="1" zoomScale="177" zoomScaleNormal="100" workbookViewId="0">
      <pane xSplit="4" ySplit="5" topLeftCell="E25" activePane="bottomRight" state="frozen"/>
      <selection pane="topRight" activeCell="C1" sqref="C1"/>
      <selection pane="bottomLeft" activeCell="A5" sqref="A5"/>
      <selection pane="bottomRight" activeCell="D27" sqref="D27"/>
    </sheetView>
  </sheetViews>
  <sheetFormatPr defaultColWidth="14.44140625" defaultRowHeight="15" customHeight="1" x14ac:dyDescent="0.35"/>
  <cols>
    <col min="1" max="1" width="2.33203125" style="3" customWidth="1"/>
    <col min="2" max="2" width="3.77734375" style="3" customWidth="1"/>
    <col min="3" max="3" width="4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0</v>
      </c>
      <c r="C2" s="91"/>
      <c r="D2" s="92"/>
      <c r="E2" s="99" t="s">
        <v>60</v>
      </c>
      <c r="F2" s="100"/>
      <c r="G2" s="100"/>
      <c r="H2" s="100"/>
      <c r="I2" s="101"/>
      <c r="J2" s="30"/>
      <c r="K2" s="102" t="s">
        <v>61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34</v>
      </c>
      <c r="F3" s="9" t="s">
        <v>39</v>
      </c>
      <c r="G3" s="9" t="s">
        <v>36</v>
      </c>
      <c r="H3" s="9" t="s">
        <v>38</v>
      </c>
      <c r="I3" s="105">
        <f>SUM(E6,E11,E17,E22, E27, E32,E38,E43, )</f>
        <v>100</v>
      </c>
      <c r="K3" s="28" t="s">
        <v>34</v>
      </c>
      <c r="L3" s="9" t="s">
        <v>41</v>
      </c>
      <c r="M3" s="9" t="s">
        <v>36</v>
      </c>
      <c r="N3" s="9" t="s">
        <v>38</v>
      </c>
      <c r="O3" s="105">
        <f>SUM(K6,K11,K17, K22, K27, K32,K38,K43)</f>
        <v>100</v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78</v>
      </c>
      <c r="G4" s="26" t="s">
        <v>37</v>
      </c>
      <c r="H4" s="26" t="s">
        <v>42</v>
      </c>
      <c r="I4" s="106"/>
      <c r="J4" s="27"/>
      <c r="K4" s="29" t="s">
        <v>35</v>
      </c>
      <c r="L4" s="26" t="s">
        <v>78</v>
      </c>
      <c r="M4" s="26" t="s">
        <v>37</v>
      </c>
      <c r="N4" s="26" t="s">
        <v>42</v>
      </c>
      <c r="O4" s="106"/>
      <c r="Q4" s="107" t="s">
        <v>83</v>
      </c>
      <c r="R4" s="107"/>
      <c r="S4" s="107"/>
      <c r="T4" s="107"/>
      <c r="U4" s="107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28</v>
      </c>
      <c r="R5" s="12" t="s">
        <v>1</v>
      </c>
      <c r="S5" s="12" t="s">
        <v>2</v>
      </c>
      <c r="T5" s="12" t="s">
        <v>3</v>
      </c>
      <c r="U5" s="12" t="s">
        <v>4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11" t="s">
        <v>55</v>
      </c>
      <c r="C6" s="111"/>
      <c r="D6" s="24" t="s">
        <v>62</v>
      </c>
      <c r="E6" s="86">
        <f>SUM(J7:J9)</f>
        <v>12</v>
      </c>
      <c r="F6" s="87"/>
      <c r="G6" s="87"/>
      <c r="H6" s="87"/>
      <c r="I6" s="88"/>
      <c r="J6" s="20"/>
      <c r="K6" s="86">
        <f>SUM(P7:P9)</f>
        <v>12</v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11"/>
      <c r="C7" s="111"/>
      <c r="D7" s="25" t="s">
        <v>5</v>
      </c>
      <c r="E7" s="89" t="s">
        <v>7</v>
      </c>
      <c r="F7" s="87"/>
      <c r="G7" s="87"/>
      <c r="H7" s="87"/>
      <c r="I7" s="88"/>
      <c r="J7" s="21">
        <f t="shared" ref="J7:J9" si="0">IF(E7 = "Yes",4,0)</f>
        <v>4</v>
      </c>
      <c r="K7" s="89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11"/>
      <c r="C8" s="111"/>
      <c r="D8" s="25" t="s">
        <v>48</v>
      </c>
      <c r="E8" s="89" t="s">
        <v>7</v>
      </c>
      <c r="F8" s="87"/>
      <c r="G8" s="87"/>
      <c r="H8" s="87"/>
      <c r="I8" s="88"/>
      <c r="J8" s="21">
        <f t="shared" si="0"/>
        <v>4</v>
      </c>
      <c r="K8" s="89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11"/>
      <c r="C9" s="111"/>
      <c r="D9" s="25" t="s">
        <v>59</v>
      </c>
      <c r="E9" s="89" t="s">
        <v>7</v>
      </c>
      <c r="F9" s="87"/>
      <c r="G9" s="87"/>
      <c r="H9" s="87"/>
      <c r="I9" s="88"/>
      <c r="J9" s="21">
        <f t="shared" si="0"/>
        <v>4</v>
      </c>
      <c r="K9" s="89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C10" s="22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38"/>
      <c r="B11" s="80" t="s">
        <v>55</v>
      </c>
      <c r="C11" s="81"/>
      <c r="D11" s="24" t="s">
        <v>23</v>
      </c>
      <c r="E11" s="86">
        <f>SUM(J12:J15)</f>
        <v>13</v>
      </c>
      <c r="F11" s="87"/>
      <c r="G11" s="87"/>
      <c r="H11" s="87"/>
      <c r="I11" s="88"/>
      <c r="J11" s="20"/>
      <c r="K11" s="86">
        <f>SUM(P12:P15)</f>
        <v>13</v>
      </c>
      <c r="L11" s="87"/>
      <c r="M11" s="87"/>
      <c r="N11" s="87"/>
      <c r="O11" s="88"/>
      <c r="P11" s="20"/>
      <c r="Q11" s="86"/>
      <c r="R11" s="87"/>
      <c r="S11" s="87"/>
      <c r="T11" s="87"/>
      <c r="U11" s="8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38"/>
      <c r="B12" s="82"/>
      <c r="C12" s="83"/>
      <c r="D12" s="25" t="s">
        <v>43</v>
      </c>
      <c r="E12" s="89" t="s">
        <v>7</v>
      </c>
      <c r="F12" s="87"/>
      <c r="G12" s="87"/>
      <c r="H12" s="87"/>
      <c r="I12" s="88"/>
      <c r="J12" s="21">
        <f>IF(E12 = "Yes",3,0)</f>
        <v>3</v>
      </c>
      <c r="K12" s="89" t="s">
        <v>7</v>
      </c>
      <c r="L12" s="87"/>
      <c r="M12" s="87"/>
      <c r="N12" s="87"/>
      <c r="O12" s="88"/>
      <c r="P12" s="21">
        <f>IF(K12 = "Yes",3,0)</f>
        <v>3</v>
      </c>
      <c r="Q12" s="14"/>
      <c r="R12" s="15"/>
      <c r="S12" s="15"/>
      <c r="T12" s="15"/>
      <c r="U12" s="15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4.799999999999997" x14ac:dyDescent="0.25">
      <c r="A13" s="38"/>
      <c r="B13" s="82"/>
      <c r="C13" s="83"/>
      <c r="D13" s="25" t="s">
        <v>58</v>
      </c>
      <c r="E13" s="89" t="s">
        <v>7</v>
      </c>
      <c r="F13" s="87"/>
      <c r="G13" s="87"/>
      <c r="H13" s="87"/>
      <c r="I13" s="88"/>
      <c r="J13" s="21">
        <f>IF(E13 = "Yes",1,0)</f>
        <v>1</v>
      </c>
      <c r="K13" s="89" t="s">
        <v>7</v>
      </c>
      <c r="L13" s="87"/>
      <c r="M13" s="87"/>
      <c r="N13" s="87"/>
      <c r="O13" s="88"/>
      <c r="P13" s="21">
        <f>IF(K13 = "Yes",1,0)</f>
        <v>1</v>
      </c>
      <c r="Q13" s="14"/>
      <c r="R13" s="15"/>
      <c r="S13" s="15"/>
      <c r="T13" s="15"/>
      <c r="U13" s="15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38"/>
      <c r="B14" s="82"/>
      <c r="C14" s="83"/>
      <c r="D14" s="25" t="s">
        <v>22</v>
      </c>
      <c r="E14" s="89" t="s">
        <v>7</v>
      </c>
      <c r="F14" s="87"/>
      <c r="G14" s="87"/>
      <c r="H14" s="87"/>
      <c r="I14" s="88"/>
      <c r="J14" s="21">
        <f t="shared" ref="J14" si="2">IF(E14 = "Yes",4,0)</f>
        <v>4</v>
      </c>
      <c r="K14" s="89" t="s">
        <v>7</v>
      </c>
      <c r="L14" s="87"/>
      <c r="M14" s="87"/>
      <c r="N14" s="87"/>
      <c r="O14" s="88"/>
      <c r="P14" s="21">
        <f t="shared" ref="P14" si="3">IF(K14 = "Yes",4,0)</f>
        <v>4</v>
      </c>
      <c r="Q14" s="14"/>
      <c r="R14" s="15"/>
      <c r="S14" s="15"/>
      <c r="T14" s="15"/>
      <c r="U14" s="15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38"/>
      <c r="B15" s="84"/>
      <c r="C15" s="85"/>
      <c r="D15" s="25" t="s">
        <v>25</v>
      </c>
      <c r="E15" s="89" t="s">
        <v>7</v>
      </c>
      <c r="F15" s="87"/>
      <c r="G15" s="87"/>
      <c r="H15" s="87"/>
      <c r="I15" s="88"/>
      <c r="J15" s="21">
        <f>IF(E15 = "Yes",5,0)</f>
        <v>5</v>
      </c>
      <c r="K15" s="89" t="s">
        <v>7</v>
      </c>
      <c r="L15" s="87"/>
      <c r="M15" s="87"/>
      <c r="N15" s="87"/>
      <c r="O15" s="88"/>
      <c r="P15" s="21">
        <f>IF(K15 = "Yes",5,0)</f>
        <v>5</v>
      </c>
      <c r="Q15" s="14"/>
      <c r="R15" s="15"/>
      <c r="S15" s="15"/>
      <c r="T15" s="15"/>
      <c r="U15" s="15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C16" s="23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80" t="s">
        <v>55</v>
      </c>
      <c r="C17" s="81"/>
      <c r="D17" s="24" t="s">
        <v>11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82"/>
      <c r="C18" s="83"/>
      <c r="D18" s="25" t="s">
        <v>79</v>
      </c>
      <c r="E18" s="89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89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4.799999999999997" x14ac:dyDescent="0.25">
      <c r="A19" s="38"/>
      <c r="B19" s="82"/>
      <c r="C19" s="83"/>
      <c r="D19" s="25" t="s">
        <v>57</v>
      </c>
      <c r="E19" s="89" t="s">
        <v>7</v>
      </c>
      <c r="F19" s="87"/>
      <c r="G19" s="87"/>
      <c r="H19" s="87"/>
      <c r="I19" s="88"/>
      <c r="J19" s="21">
        <f t="shared" si="4"/>
        <v>4</v>
      </c>
      <c r="K19" s="89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84"/>
      <c r="C20" s="85"/>
      <c r="D20" s="25" t="s">
        <v>21</v>
      </c>
      <c r="E20" s="89" t="s">
        <v>7</v>
      </c>
      <c r="F20" s="87"/>
      <c r="G20" s="87"/>
      <c r="H20" s="87"/>
      <c r="I20" s="88"/>
      <c r="J20" s="21">
        <f>IF(E20 = "Yes",5,0)</f>
        <v>5</v>
      </c>
      <c r="K20" s="89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C21" s="23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38"/>
      <c r="B22" s="80" t="s">
        <v>55</v>
      </c>
      <c r="C22" s="81"/>
      <c r="D22" s="24" t="s">
        <v>15</v>
      </c>
      <c r="E22" s="86">
        <f>SUM(J23:J25)</f>
        <v>12</v>
      </c>
      <c r="F22" s="87"/>
      <c r="G22" s="87"/>
      <c r="H22" s="87"/>
      <c r="I22" s="88"/>
      <c r="J22" s="20"/>
      <c r="K22" s="86">
        <f>SUM(P23:P25)</f>
        <v>12</v>
      </c>
      <c r="L22" s="87"/>
      <c r="M22" s="87"/>
      <c r="N22" s="87"/>
      <c r="O22" s="88"/>
      <c r="P22" s="20"/>
      <c r="Q22" s="86"/>
      <c r="R22" s="87"/>
      <c r="S22" s="87"/>
      <c r="T22" s="87"/>
      <c r="U22" s="8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38"/>
      <c r="B23" s="82"/>
      <c r="C23" s="83"/>
      <c r="D23" s="25" t="s">
        <v>19</v>
      </c>
      <c r="E23" s="89" t="s">
        <v>7</v>
      </c>
      <c r="F23" s="87"/>
      <c r="G23" s="87"/>
      <c r="H23" s="87"/>
      <c r="I23" s="88"/>
      <c r="J23" s="21">
        <f t="shared" ref="J23:J25" si="6">IF(E23 = "Yes",4,0)</f>
        <v>4</v>
      </c>
      <c r="K23" s="89" t="s">
        <v>7</v>
      </c>
      <c r="L23" s="87"/>
      <c r="M23" s="87"/>
      <c r="N23" s="87"/>
      <c r="O23" s="88"/>
      <c r="P23" s="21">
        <f t="shared" ref="P23:P25" si="7">IF(K23 = "Yes",4,0)</f>
        <v>4</v>
      </c>
      <c r="Q23" s="14"/>
      <c r="R23" s="15"/>
      <c r="S23" s="15"/>
      <c r="T23" s="15"/>
      <c r="U23" s="15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38"/>
      <c r="B24" s="82"/>
      <c r="C24" s="83"/>
      <c r="D24" s="25" t="s">
        <v>20</v>
      </c>
      <c r="E24" s="89" t="s">
        <v>7</v>
      </c>
      <c r="F24" s="87"/>
      <c r="G24" s="87"/>
      <c r="H24" s="87"/>
      <c r="I24" s="88"/>
      <c r="J24" s="21">
        <f t="shared" si="6"/>
        <v>4</v>
      </c>
      <c r="K24" s="89" t="s">
        <v>7</v>
      </c>
      <c r="L24" s="87"/>
      <c r="M24" s="87"/>
      <c r="N24" s="87"/>
      <c r="O24" s="88"/>
      <c r="P24" s="21">
        <f t="shared" si="7"/>
        <v>4</v>
      </c>
      <c r="Q24" s="14"/>
      <c r="R24" s="15"/>
      <c r="S24" s="15"/>
      <c r="T24" s="15"/>
      <c r="U24" s="15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38"/>
      <c r="B25" s="84"/>
      <c r="C25" s="85"/>
      <c r="D25" s="25" t="s">
        <v>24</v>
      </c>
      <c r="E25" s="89" t="s">
        <v>7</v>
      </c>
      <c r="F25" s="87"/>
      <c r="G25" s="87"/>
      <c r="H25" s="87"/>
      <c r="I25" s="88"/>
      <c r="J25" s="21">
        <f t="shared" si="6"/>
        <v>4</v>
      </c>
      <c r="K25" s="89" t="s">
        <v>7</v>
      </c>
      <c r="L25" s="87"/>
      <c r="M25" s="87"/>
      <c r="N25" s="87"/>
      <c r="O25" s="88"/>
      <c r="P25" s="21">
        <f t="shared" si="7"/>
        <v>4</v>
      </c>
      <c r="Q25" s="14"/>
      <c r="R25" s="15"/>
      <c r="S25" s="15"/>
      <c r="T25" s="15"/>
      <c r="U25" s="15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21" t="s">
        <v>56</v>
      </c>
      <c r="C27" s="111" t="s">
        <v>55</v>
      </c>
      <c r="D27" s="24" t="s">
        <v>16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21"/>
      <c r="C28" s="111"/>
      <c r="D28" s="25" t="s">
        <v>82</v>
      </c>
      <c r="E28" s="89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89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21"/>
      <c r="C29" s="111"/>
      <c r="D29" s="25" t="s">
        <v>49</v>
      </c>
      <c r="E29" s="89" t="s">
        <v>7</v>
      </c>
      <c r="F29" s="87"/>
      <c r="G29" s="87"/>
      <c r="H29" s="87"/>
      <c r="I29" s="88"/>
      <c r="J29" s="21">
        <f t="shared" si="8"/>
        <v>4</v>
      </c>
      <c r="K29" s="89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21"/>
      <c r="C30" s="111"/>
      <c r="D30" s="25" t="s">
        <v>51</v>
      </c>
      <c r="E30" s="89" t="s">
        <v>7</v>
      </c>
      <c r="F30" s="87"/>
      <c r="G30" s="87"/>
      <c r="H30" s="87"/>
      <c r="I30" s="88"/>
      <c r="J30" s="21">
        <f t="shared" si="8"/>
        <v>4</v>
      </c>
      <c r="K30" s="89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21" t="s">
        <v>56</v>
      </c>
      <c r="C32" s="121"/>
      <c r="D32" s="24" t="s">
        <v>12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21"/>
      <c r="C33" s="121"/>
      <c r="D33" s="25" t="s">
        <v>44</v>
      </c>
      <c r="E33" s="89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89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21"/>
      <c r="C34" s="121"/>
      <c r="D34" s="25" t="s">
        <v>17</v>
      </c>
      <c r="E34" s="89" t="s">
        <v>7</v>
      </c>
      <c r="F34" s="87"/>
      <c r="G34" s="87"/>
      <c r="H34" s="87"/>
      <c r="I34" s="88"/>
      <c r="J34" s="21">
        <f t="shared" si="10"/>
        <v>3</v>
      </c>
      <c r="K34" s="89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21"/>
      <c r="C35" s="121"/>
      <c r="D35" s="25" t="s">
        <v>45</v>
      </c>
      <c r="E35" s="89" t="s">
        <v>7</v>
      </c>
      <c r="F35" s="87"/>
      <c r="G35" s="87"/>
      <c r="H35" s="87"/>
      <c r="I35" s="88"/>
      <c r="J35" s="21">
        <f t="shared" si="10"/>
        <v>3</v>
      </c>
      <c r="K35" s="89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21"/>
      <c r="C36" s="121"/>
      <c r="D36" s="25" t="s">
        <v>18</v>
      </c>
      <c r="E36" s="89" t="s">
        <v>7</v>
      </c>
      <c r="F36" s="87"/>
      <c r="G36" s="87"/>
      <c r="H36" s="87"/>
      <c r="I36" s="88"/>
      <c r="J36" s="21">
        <f>IF(E36 = "Yes",4,0)</f>
        <v>4</v>
      </c>
      <c r="K36" s="89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C37" s="23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21" t="s">
        <v>56</v>
      </c>
      <c r="C38" s="121"/>
      <c r="D38" s="24" t="s">
        <v>13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21"/>
      <c r="C39" s="121"/>
      <c r="D39" s="25" t="s">
        <v>54</v>
      </c>
      <c r="E39" s="89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89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21"/>
      <c r="C40" s="121"/>
      <c r="D40" s="25" t="s">
        <v>46</v>
      </c>
      <c r="E40" s="89" t="s">
        <v>7</v>
      </c>
      <c r="F40" s="87"/>
      <c r="G40" s="87"/>
      <c r="H40" s="87"/>
      <c r="I40" s="88"/>
      <c r="J40" s="21">
        <f t="shared" si="12"/>
        <v>4</v>
      </c>
      <c r="K40" s="89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21"/>
      <c r="C41" s="121"/>
      <c r="D41" s="25" t="s">
        <v>53</v>
      </c>
      <c r="E41" s="89" t="s">
        <v>7</v>
      </c>
      <c r="F41" s="87"/>
      <c r="G41" s="87"/>
      <c r="H41" s="87"/>
      <c r="I41" s="88"/>
      <c r="J41" s="21">
        <f>IF(E41 = "Yes",5,0)</f>
        <v>5</v>
      </c>
      <c r="K41" s="89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C42" s="23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38"/>
      <c r="B43" s="121" t="s">
        <v>56</v>
      </c>
      <c r="C43" s="121"/>
      <c r="D43" s="24" t="s">
        <v>14</v>
      </c>
      <c r="E43" s="86">
        <f>SUM(J44:J46)</f>
        <v>12</v>
      </c>
      <c r="F43" s="87"/>
      <c r="G43" s="87"/>
      <c r="H43" s="87"/>
      <c r="I43" s="88"/>
      <c r="J43" s="20"/>
      <c r="K43" s="86">
        <f>SUM(P44:P46)</f>
        <v>12</v>
      </c>
      <c r="L43" s="87"/>
      <c r="M43" s="87"/>
      <c r="N43" s="87"/>
      <c r="O43" s="88"/>
      <c r="P43" s="20"/>
      <c r="Q43" s="86"/>
      <c r="R43" s="87"/>
      <c r="S43" s="87"/>
      <c r="T43" s="87"/>
      <c r="U43" s="8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13" customFormat="1" ht="34.799999999999997" x14ac:dyDescent="0.25">
      <c r="A44" s="38"/>
      <c r="B44" s="121"/>
      <c r="C44" s="121"/>
      <c r="D44" s="25" t="s">
        <v>26</v>
      </c>
      <c r="E44" s="89" t="s">
        <v>7</v>
      </c>
      <c r="F44" s="87"/>
      <c r="G44" s="87"/>
      <c r="H44" s="87"/>
      <c r="I44" s="88"/>
      <c r="J44" s="21">
        <f t="shared" ref="J44:J45" si="14">IF(E44 = "Yes",4,0)</f>
        <v>4</v>
      </c>
      <c r="K44" s="89" t="s">
        <v>7</v>
      </c>
      <c r="L44" s="87"/>
      <c r="M44" s="87"/>
      <c r="N44" s="87"/>
      <c r="O44" s="88"/>
      <c r="P44" s="21">
        <f t="shared" ref="P44:P45" si="15">IF(K44 = "Yes",4,0)</f>
        <v>4</v>
      </c>
      <c r="Q44" s="14"/>
      <c r="R44" s="15"/>
      <c r="S44" s="15"/>
      <c r="T44" s="15"/>
      <c r="U44" s="15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</row>
    <row r="45" spans="1:93" s="13" customFormat="1" ht="34.799999999999997" x14ac:dyDescent="0.25">
      <c r="A45" s="38"/>
      <c r="B45" s="121"/>
      <c r="C45" s="121"/>
      <c r="D45" s="25" t="s">
        <v>47</v>
      </c>
      <c r="E45" s="89" t="s">
        <v>7</v>
      </c>
      <c r="F45" s="87"/>
      <c r="G45" s="87"/>
      <c r="H45" s="87"/>
      <c r="I45" s="88"/>
      <c r="J45" s="21">
        <f t="shared" si="14"/>
        <v>4</v>
      </c>
      <c r="K45" s="89" t="s">
        <v>7</v>
      </c>
      <c r="L45" s="87"/>
      <c r="M45" s="87"/>
      <c r="N45" s="87"/>
      <c r="O45" s="88"/>
      <c r="P45" s="21">
        <f t="shared" si="15"/>
        <v>4</v>
      </c>
      <c r="Q45" s="14"/>
      <c r="R45" s="15"/>
      <c r="S45" s="15"/>
      <c r="T45" s="15"/>
      <c r="U45" s="15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38"/>
      <c r="B46" s="121"/>
      <c r="C46" s="121"/>
      <c r="D46" s="25" t="s">
        <v>52</v>
      </c>
      <c r="E46" s="89" t="s">
        <v>7</v>
      </c>
      <c r="F46" s="87"/>
      <c r="G46" s="87"/>
      <c r="H46" s="87"/>
      <c r="I46" s="88"/>
      <c r="J46" s="21">
        <f>IF(E46 = "Yes",4,0)</f>
        <v>4</v>
      </c>
      <c r="K46" s="89" t="s">
        <v>7</v>
      </c>
      <c r="L46" s="87"/>
      <c r="M46" s="87"/>
      <c r="N46" s="87"/>
      <c r="O46" s="88"/>
      <c r="P46" s="21">
        <f>IF(K46 = "Yes",4,0)</f>
        <v>4</v>
      </c>
      <c r="Q46" s="14"/>
      <c r="R46" s="15"/>
      <c r="S46" s="15"/>
      <c r="T46" s="15"/>
      <c r="U46" s="15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mergeCells count="109">
    <mergeCell ref="E46:I46"/>
    <mergeCell ref="K46:O46"/>
    <mergeCell ref="K47:P47"/>
    <mergeCell ref="E50:I50"/>
    <mergeCell ref="E42:I42"/>
    <mergeCell ref="K42:P42"/>
    <mergeCell ref="B43:C46"/>
    <mergeCell ref="E43:I43"/>
    <mergeCell ref="K43:O43"/>
    <mergeCell ref="Q43:U43"/>
    <mergeCell ref="E44:I44"/>
    <mergeCell ref="K44:O44"/>
    <mergeCell ref="E45:I45"/>
    <mergeCell ref="K45:O45"/>
    <mergeCell ref="B38:C41"/>
    <mergeCell ref="E38:I38"/>
    <mergeCell ref="K38:O38"/>
    <mergeCell ref="Q38:U38"/>
    <mergeCell ref="E39:I39"/>
    <mergeCell ref="K39:O39"/>
    <mergeCell ref="E40:I40"/>
    <mergeCell ref="K40:O40"/>
    <mergeCell ref="E41:I41"/>
    <mergeCell ref="K41:O41"/>
    <mergeCell ref="E35:I35"/>
    <mergeCell ref="K35:O35"/>
    <mergeCell ref="E36:I36"/>
    <mergeCell ref="K36:O36"/>
    <mergeCell ref="D37:I37"/>
    <mergeCell ref="K37:P37"/>
    <mergeCell ref="E31:I31"/>
    <mergeCell ref="K31:O31"/>
    <mergeCell ref="B32:C36"/>
    <mergeCell ref="E32:I32"/>
    <mergeCell ref="K32:O32"/>
    <mergeCell ref="Q32:U32"/>
    <mergeCell ref="E33:I33"/>
    <mergeCell ref="K33:O33"/>
    <mergeCell ref="E34:I34"/>
    <mergeCell ref="K34:O34"/>
    <mergeCell ref="Q27:U27"/>
    <mergeCell ref="E28:I28"/>
    <mergeCell ref="K28:O28"/>
    <mergeCell ref="E29:I29"/>
    <mergeCell ref="K29:O29"/>
    <mergeCell ref="E30:I30"/>
    <mergeCell ref="K30:O30"/>
    <mergeCell ref="E26:I26"/>
    <mergeCell ref="K26:O26"/>
    <mergeCell ref="B27:B30"/>
    <mergeCell ref="C27:C30"/>
    <mergeCell ref="E27:I27"/>
    <mergeCell ref="K27:O27"/>
    <mergeCell ref="Q22:U22"/>
    <mergeCell ref="E23:I23"/>
    <mergeCell ref="K23:O23"/>
    <mergeCell ref="E24:I24"/>
    <mergeCell ref="K24:O24"/>
    <mergeCell ref="E25:I25"/>
    <mergeCell ref="K25:O25"/>
    <mergeCell ref="E20:I20"/>
    <mergeCell ref="K20:O20"/>
    <mergeCell ref="E21:I21"/>
    <mergeCell ref="K21:O21"/>
    <mergeCell ref="B22:C25"/>
    <mergeCell ref="E22:I22"/>
    <mergeCell ref="K22:O22"/>
    <mergeCell ref="E16:I16"/>
    <mergeCell ref="K16:P16"/>
    <mergeCell ref="B17:C20"/>
    <mergeCell ref="E17:I17"/>
    <mergeCell ref="K17:O17"/>
    <mergeCell ref="E19:I19"/>
    <mergeCell ref="K19:O19"/>
    <mergeCell ref="B2:D4"/>
    <mergeCell ref="E2:I2"/>
    <mergeCell ref="K2:O2"/>
    <mergeCell ref="I3:I4"/>
    <mergeCell ref="O3:O4"/>
    <mergeCell ref="Q4:U4"/>
    <mergeCell ref="E5:I5"/>
    <mergeCell ref="K5:O5"/>
    <mergeCell ref="B6:C9"/>
    <mergeCell ref="E6:I6"/>
    <mergeCell ref="K6:O6"/>
    <mergeCell ref="Q6:U6"/>
    <mergeCell ref="E7:I7"/>
    <mergeCell ref="K7:O7"/>
    <mergeCell ref="E8:I8"/>
    <mergeCell ref="K8:O8"/>
    <mergeCell ref="E9:I9"/>
    <mergeCell ref="K9:O9"/>
    <mergeCell ref="E10:I10"/>
    <mergeCell ref="K10:O10"/>
    <mergeCell ref="B11:C15"/>
    <mergeCell ref="E11:I11"/>
    <mergeCell ref="K11:O11"/>
    <mergeCell ref="E15:I15"/>
    <mergeCell ref="K15:O15"/>
    <mergeCell ref="Q17:U17"/>
    <mergeCell ref="E18:I18"/>
    <mergeCell ref="K18:O18"/>
    <mergeCell ref="Q11:U11"/>
    <mergeCell ref="E12:I12"/>
    <mergeCell ref="K12:O12"/>
    <mergeCell ref="E13:I13"/>
    <mergeCell ref="K13:O13"/>
    <mergeCell ref="E14:I14"/>
    <mergeCell ref="K14:O14"/>
  </mergeCells>
  <phoneticPr fontId="11" type="noConversion"/>
  <conditionalFormatting sqref="E3">
    <cfRule type="expression" dxfId="107" priority="22">
      <formula>$E$11 &gt; 12</formula>
    </cfRule>
    <cfRule type="expression" dxfId="106" priority="31">
      <formula>$E$11&lt;7</formula>
    </cfRule>
    <cfRule type="expression" dxfId="105" priority="29">
      <formula>$E$11 &gt;6</formula>
    </cfRule>
  </conditionalFormatting>
  <conditionalFormatting sqref="E4">
    <cfRule type="expression" dxfId="104" priority="26">
      <formula>$E$43 &gt; 11</formula>
    </cfRule>
    <cfRule type="expression" dxfId="103" priority="38">
      <formula>$E$43&lt;7</formula>
    </cfRule>
    <cfRule type="expression" dxfId="102" priority="37">
      <formula>$E$43 &gt;6</formula>
    </cfRule>
  </conditionalFormatting>
  <conditionalFormatting sqref="F3">
    <cfRule type="expression" dxfId="101" priority="23">
      <formula>$E$17 &gt; 12</formula>
    </cfRule>
    <cfRule type="expression" dxfId="100" priority="33">
      <formula>$E$17&lt;7</formula>
    </cfRule>
    <cfRule type="expression" dxfId="99" priority="32">
      <formula>$E$17 &gt;6</formula>
    </cfRule>
  </conditionalFormatting>
  <conditionalFormatting sqref="F4">
    <cfRule type="expression" dxfId="98" priority="27" stopIfTrue="1">
      <formula>$E$6 &gt; 11</formula>
    </cfRule>
    <cfRule type="expression" dxfId="97" priority="40" stopIfTrue="1">
      <formula>$E$6&lt;7</formula>
    </cfRule>
    <cfRule type="expression" dxfId="96" priority="39" stopIfTrue="1">
      <formula>$E$6 &gt;6</formula>
    </cfRule>
  </conditionalFormatting>
  <conditionalFormatting sqref="G3">
    <cfRule type="expression" dxfId="95" priority="24">
      <formula>$E$32 &gt; 12</formula>
    </cfRule>
    <cfRule type="expression" dxfId="94" priority="34">
      <formula>$E$32&lt;7</formula>
    </cfRule>
    <cfRule type="expression" dxfId="93" priority="30">
      <formula>$E$32 &gt;6</formula>
    </cfRule>
  </conditionalFormatting>
  <conditionalFormatting sqref="G4">
    <cfRule type="expression" dxfId="92" priority="42">
      <formula>$E$22 &lt;7</formula>
    </cfRule>
    <cfRule type="expression" dxfId="91" priority="41" stopIfTrue="1">
      <formula>$E$22 &gt;6</formula>
    </cfRule>
    <cfRule type="expression" dxfId="90" priority="28" stopIfTrue="1">
      <formula>$E$22 &gt; 11</formula>
    </cfRule>
  </conditionalFormatting>
  <conditionalFormatting sqref="H3">
    <cfRule type="expression" dxfId="89" priority="25">
      <formula>$E$38 &gt; 12</formula>
    </cfRule>
    <cfRule type="expression" dxfId="88" priority="36">
      <formula>$E$38&lt;7</formula>
    </cfRule>
    <cfRule type="expression" dxfId="87" priority="35">
      <formula>$E$38 &gt;6</formula>
    </cfRule>
  </conditionalFormatting>
  <conditionalFormatting sqref="H4">
    <cfRule type="expression" dxfId="86" priority="48">
      <formula>$E$27&lt;7</formula>
    </cfRule>
    <cfRule type="expression" dxfId="85" priority="46">
      <formula>$E$27 &gt; 11</formula>
    </cfRule>
    <cfRule type="expression" dxfId="84" priority="47">
      <formula>$E$27 &gt;6</formula>
    </cfRule>
  </conditionalFormatting>
  <conditionalFormatting sqref="I3:I4">
    <cfRule type="cellIs" dxfId="83" priority="43" operator="lessThanOrEqual">
      <formula>60</formula>
    </cfRule>
    <cfRule type="cellIs" dxfId="82" priority="44" operator="between">
      <formula>61</formula>
      <formula>99</formula>
    </cfRule>
    <cfRule type="cellIs" dxfId="81" priority="45" operator="equal">
      <formula>100</formula>
    </cfRule>
  </conditionalFormatting>
  <conditionalFormatting sqref="K3">
    <cfRule type="expression" dxfId="80" priority="4">
      <formula>$K$11 &gt; 12</formula>
    </cfRule>
    <cfRule type="expression" dxfId="79" priority="11">
      <formula>$K$11&lt;7</formula>
    </cfRule>
    <cfRule type="expression" dxfId="78" priority="9">
      <formula>$K$11 &gt;6</formula>
    </cfRule>
  </conditionalFormatting>
  <conditionalFormatting sqref="K4">
    <cfRule type="expression" dxfId="77" priority="18">
      <formula>$K$43&lt;7</formula>
    </cfRule>
    <cfRule type="expression" dxfId="76" priority="17">
      <formula>$K$43 &gt;6</formula>
    </cfRule>
    <cfRule type="expression" dxfId="75" priority="8">
      <formula>$K$43 &gt; 11</formula>
    </cfRule>
  </conditionalFormatting>
  <conditionalFormatting sqref="L3">
    <cfRule type="expression" dxfId="74" priority="13">
      <formula>$K$17&lt;7</formula>
    </cfRule>
    <cfRule type="expression" dxfId="73" priority="5">
      <formula>$K$17 &gt; 12</formula>
    </cfRule>
    <cfRule type="expression" dxfId="72" priority="12">
      <formula>$K$17 &gt;6</formula>
    </cfRule>
  </conditionalFormatting>
  <conditionalFormatting sqref="L4">
    <cfRule type="expression" dxfId="71" priority="2">
      <formula>$K$6 &gt;6</formula>
    </cfRule>
    <cfRule type="expression" dxfId="70" priority="3">
      <formula>$K$6&lt;7</formula>
    </cfRule>
    <cfRule type="expression" dxfId="69" priority="1">
      <formula>$K$6 &gt; 11</formula>
    </cfRule>
  </conditionalFormatting>
  <conditionalFormatting sqref="M3">
    <cfRule type="expression" dxfId="68" priority="6">
      <formula>$K$32 &gt; 12</formula>
    </cfRule>
    <cfRule type="expression" dxfId="67" priority="14">
      <formula>$K$32&lt;7</formula>
    </cfRule>
    <cfRule type="expression" dxfId="66" priority="10">
      <formula>$K$32 &gt;6</formula>
    </cfRule>
  </conditionalFormatting>
  <conditionalFormatting sqref="M4">
    <cfRule type="expression" dxfId="65" priority="52" stopIfTrue="1">
      <formula>$K$22 &gt; 11</formula>
    </cfRule>
    <cfRule type="expression" dxfId="64" priority="53" stopIfTrue="1">
      <formula>$K$22 &gt;6</formula>
    </cfRule>
    <cfRule type="expression" dxfId="63" priority="54" stopIfTrue="1">
      <formula>$K$22 &lt;7</formula>
    </cfRule>
  </conditionalFormatting>
  <conditionalFormatting sqref="N3">
    <cfRule type="expression" dxfId="62" priority="16">
      <formula>$K$38&lt;7</formula>
    </cfRule>
    <cfRule type="expression" dxfId="61" priority="15">
      <formula>$K$38 &gt;6</formula>
    </cfRule>
    <cfRule type="expression" dxfId="60" priority="7">
      <formula>$K$38 &gt; 12</formula>
    </cfRule>
  </conditionalFormatting>
  <conditionalFormatting sqref="N4">
    <cfRule type="expression" dxfId="59" priority="49">
      <formula>$K$27 &gt; 11</formula>
    </cfRule>
    <cfRule type="expression" dxfId="58" priority="50">
      <formula>$K$27 &gt;6</formula>
    </cfRule>
    <cfRule type="expression" dxfId="57" priority="51">
      <formula>$K$27&lt;7</formula>
    </cfRule>
  </conditionalFormatting>
  <conditionalFormatting sqref="O3:O4">
    <cfRule type="cellIs" dxfId="56" priority="19" operator="lessThanOrEqual">
      <formula>60</formula>
    </cfRule>
    <cfRule type="cellIs" dxfId="55" priority="21" operator="equal">
      <formula>100</formula>
    </cfRule>
    <cfRule type="cellIs" dxfId="54" priority="20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F806F451-C1CB-4C47-932C-0D9AA3C1FF6D}">
      <formula1>"Yes,No"</formula1>
    </dataValidation>
  </dataValidations>
  <pageMargins left="0.25" right="0.25" top="0.75" bottom="0.75" header="0.3" footer="0.3"/>
  <pageSetup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outlinePr summaryBelow="0" summaryRight="0"/>
    <pageSetUpPr fitToPage="1"/>
  </sheetPr>
  <dimension ref="A1:CO1007"/>
  <sheetViews>
    <sheetView zoomScale="109" zoomScaleNormal="90" workbookViewId="0">
      <pane xSplit="4" ySplit="5" topLeftCell="E6" activePane="bottomRight" state="frozen"/>
      <selection pane="topRight" activeCell="C1" sqref="C1"/>
      <selection pane="bottomLeft" activeCell="A5" sqref="A5"/>
      <selection pane="bottomRight" activeCell="E18" sqref="E18:I18"/>
    </sheetView>
  </sheetViews>
  <sheetFormatPr defaultColWidth="14.44140625" defaultRowHeight="15" customHeight="1" x14ac:dyDescent="0.35"/>
  <cols>
    <col min="1" max="1" width="2.33203125" style="3" customWidth="1"/>
    <col min="2" max="2" width="6.44140625" style="3" customWidth="1"/>
    <col min="3" max="3" width="7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6</v>
      </c>
      <c r="C2" s="91"/>
      <c r="D2" s="92"/>
      <c r="E2" s="99" t="s">
        <v>113</v>
      </c>
      <c r="F2" s="100"/>
      <c r="G2" s="100"/>
      <c r="H2" s="100"/>
      <c r="I2" s="101"/>
      <c r="J2" s="30"/>
      <c r="K2" s="102" t="s">
        <v>164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94</v>
      </c>
      <c r="F3" s="9" t="s">
        <v>95</v>
      </c>
      <c r="G3" s="9" t="s">
        <v>96</v>
      </c>
      <c r="H3" s="9" t="s">
        <v>97</v>
      </c>
      <c r="I3" s="105">
        <f>SUM(E6,E11,E17,E22, E27, E32,E38,E43, )</f>
        <v>100</v>
      </c>
      <c r="K3" s="28" t="s">
        <v>104</v>
      </c>
      <c r="L3" s="9" t="s">
        <v>106</v>
      </c>
      <c r="M3" s="9" t="s">
        <v>96</v>
      </c>
      <c r="N3" s="9" t="s">
        <v>97</v>
      </c>
      <c r="O3" s="105">
        <f>SUM(K6,K11,K17, K22, K27, K32,K38,K43)</f>
        <v>100</v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100</v>
      </c>
      <c r="G4" s="26" t="s">
        <v>99</v>
      </c>
      <c r="H4" s="26" t="s">
        <v>98</v>
      </c>
      <c r="I4" s="106"/>
      <c r="J4" s="27"/>
      <c r="K4" s="29" t="s">
        <v>35</v>
      </c>
      <c r="L4" s="26" t="s">
        <v>78</v>
      </c>
      <c r="M4" s="26" t="s">
        <v>99</v>
      </c>
      <c r="N4" s="26" t="s">
        <v>98</v>
      </c>
      <c r="O4" s="106"/>
      <c r="Q4" s="124"/>
      <c r="R4" s="124"/>
      <c r="S4" s="124"/>
      <c r="T4" s="124"/>
      <c r="U4" s="124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148</v>
      </c>
      <c r="R5" s="12" t="s">
        <v>153</v>
      </c>
      <c r="S5" s="12" t="s">
        <v>154</v>
      </c>
      <c r="T5" s="12" t="s">
        <v>168</v>
      </c>
      <c r="U5" s="12" t="s">
        <v>155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38" t="s">
        <v>90</v>
      </c>
      <c r="C6" s="138"/>
      <c r="D6" s="24" t="s">
        <v>101</v>
      </c>
      <c r="E6" s="86">
        <f>SUM(J7:J9)</f>
        <v>12</v>
      </c>
      <c r="F6" s="87"/>
      <c r="G6" s="87"/>
      <c r="H6" s="87"/>
      <c r="I6" s="88"/>
      <c r="J6" s="20"/>
      <c r="K6" s="86">
        <f>SUM(P7:P9)</f>
        <v>12</v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38"/>
      <c r="C7" s="138"/>
      <c r="D7" s="2" t="s">
        <v>63</v>
      </c>
      <c r="E7" s="89" t="s">
        <v>7</v>
      </c>
      <c r="F7" s="87"/>
      <c r="G7" s="87"/>
      <c r="H7" s="87"/>
      <c r="I7" s="88"/>
      <c r="J7" s="21">
        <f t="shared" ref="J7:J9" si="0">IF(E7 = "Yes",4,0)</f>
        <v>4</v>
      </c>
      <c r="K7" s="89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38"/>
      <c r="C8" s="138"/>
      <c r="D8" s="2" t="s">
        <v>64</v>
      </c>
      <c r="E8" s="89" t="s">
        <v>7</v>
      </c>
      <c r="F8" s="87"/>
      <c r="G8" s="87"/>
      <c r="H8" s="87"/>
      <c r="I8" s="88"/>
      <c r="J8" s="21">
        <f t="shared" si="0"/>
        <v>4</v>
      </c>
      <c r="K8" s="89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38"/>
      <c r="C9" s="138"/>
      <c r="D9" s="2" t="s">
        <v>9</v>
      </c>
      <c r="E9" s="89" t="s">
        <v>7</v>
      </c>
      <c r="F9" s="87"/>
      <c r="G9" s="87"/>
      <c r="H9" s="87"/>
      <c r="I9" s="88"/>
      <c r="J9" s="21">
        <f t="shared" si="0"/>
        <v>4</v>
      </c>
      <c r="K9" s="89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B10" s="50"/>
      <c r="C10" s="51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38"/>
      <c r="B11" s="125" t="s">
        <v>91</v>
      </c>
      <c r="C11" s="126"/>
      <c r="D11" s="24" t="s">
        <v>102</v>
      </c>
      <c r="E11" s="86">
        <f>SUM(J12:J15)</f>
        <v>13</v>
      </c>
      <c r="F11" s="87"/>
      <c r="G11" s="87"/>
      <c r="H11" s="87"/>
      <c r="I11" s="88"/>
      <c r="J11" s="20"/>
      <c r="K11" s="86">
        <f>SUM(P12:P15)</f>
        <v>13</v>
      </c>
      <c r="L11" s="87"/>
      <c r="M11" s="87"/>
      <c r="N11" s="87"/>
      <c r="O11" s="88"/>
      <c r="P11" s="20"/>
      <c r="Q11" s="86"/>
      <c r="R11" s="87"/>
      <c r="S11" s="87"/>
      <c r="T11" s="87"/>
      <c r="U11" s="8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38"/>
      <c r="B12" s="127"/>
      <c r="C12" s="128"/>
      <c r="D12" s="1" t="s">
        <v>66</v>
      </c>
      <c r="E12" s="89" t="s">
        <v>7</v>
      </c>
      <c r="F12" s="87"/>
      <c r="G12" s="87"/>
      <c r="H12" s="87"/>
      <c r="I12" s="88"/>
      <c r="J12" s="21">
        <f>IF(E12 = "Yes",3,0)</f>
        <v>3</v>
      </c>
      <c r="K12" s="89" t="s">
        <v>7</v>
      </c>
      <c r="L12" s="87"/>
      <c r="M12" s="87"/>
      <c r="N12" s="87"/>
      <c r="O12" s="88"/>
      <c r="P12" s="21">
        <f>IF(K12 = "Yes",3,0)</f>
        <v>3</v>
      </c>
      <c r="Q12" s="14"/>
      <c r="R12" s="15"/>
      <c r="S12" s="15"/>
      <c r="T12" s="15"/>
      <c r="U12" s="15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3" customHeight="1" x14ac:dyDescent="0.25">
      <c r="A13" s="38"/>
      <c r="B13" s="127"/>
      <c r="C13" s="128"/>
      <c r="D13" s="2" t="s">
        <v>80</v>
      </c>
      <c r="E13" s="89" t="s">
        <v>7</v>
      </c>
      <c r="F13" s="87"/>
      <c r="G13" s="87"/>
      <c r="H13" s="87"/>
      <c r="I13" s="88"/>
      <c r="J13" s="21">
        <f>IF(E13 = "Yes",1,0)</f>
        <v>1</v>
      </c>
      <c r="K13" s="89" t="s">
        <v>7</v>
      </c>
      <c r="L13" s="87"/>
      <c r="M13" s="87"/>
      <c r="N13" s="87"/>
      <c r="O13" s="88"/>
      <c r="P13" s="21">
        <f>IF(K13 = "Yes",1,0)</f>
        <v>1</v>
      </c>
      <c r="Q13" s="14"/>
      <c r="R13" s="15"/>
      <c r="S13" s="15"/>
      <c r="T13" s="15"/>
      <c r="U13" s="15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38"/>
      <c r="B14" s="127"/>
      <c r="C14" s="128"/>
      <c r="D14" s="2" t="s">
        <v>67</v>
      </c>
      <c r="E14" s="89" t="s">
        <v>7</v>
      </c>
      <c r="F14" s="87"/>
      <c r="G14" s="87"/>
      <c r="H14" s="87"/>
      <c r="I14" s="88"/>
      <c r="J14" s="21">
        <f t="shared" ref="J14" si="2">IF(E14 = "Yes",4,0)</f>
        <v>4</v>
      </c>
      <c r="K14" s="89" t="s">
        <v>7</v>
      </c>
      <c r="L14" s="87"/>
      <c r="M14" s="87"/>
      <c r="N14" s="87"/>
      <c r="O14" s="88"/>
      <c r="P14" s="21">
        <f t="shared" ref="P14" si="3">IF(K14 = "Yes",4,0)</f>
        <v>4</v>
      </c>
      <c r="Q14" s="14"/>
      <c r="R14" s="15"/>
      <c r="S14" s="15"/>
      <c r="T14" s="15"/>
      <c r="U14" s="15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38"/>
      <c r="B15" s="129"/>
      <c r="C15" s="130"/>
      <c r="D15" s="1" t="s">
        <v>68</v>
      </c>
      <c r="E15" s="89" t="s">
        <v>7</v>
      </c>
      <c r="F15" s="87"/>
      <c r="G15" s="87"/>
      <c r="H15" s="87"/>
      <c r="I15" s="88"/>
      <c r="J15" s="21">
        <f>IF(E15 = "Yes",5,0)</f>
        <v>5</v>
      </c>
      <c r="K15" s="89" t="s">
        <v>7</v>
      </c>
      <c r="L15" s="87"/>
      <c r="M15" s="87"/>
      <c r="N15" s="87"/>
      <c r="O15" s="88"/>
      <c r="P15" s="21">
        <f>IF(K15 = "Yes",5,0)</f>
        <v>5</v>
      </c>
      <c r="Q15" s="14"/>
      <c r="R15" s="15"/>
      <c r="S15" s="15"/>
      <c r="T15" s="15"/>
      <c r="U15" s="15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B16" s="50"/>
      <c r="C16" s="52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125" t="s">
        <v>90</v>
      </c>
      <c r="C17" s="126"/>
      <c r="D17" s="24" t="s">
        <v>107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127"/>
      <c r="C18" s="128"/>
      <c r="D18" s="2" t="s">
        <v>81</v>
      </c>
      <c r="E18" s="89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89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0" x14ac:dyDescent="0.25">
      <c r="A19" s="38"/>
      <c r="B19" s="127"/>
      <c r="C19" s="128"/>
      <c r="D19" s="2" t="s">
        <v>50</v>
      </c>
      <c r="E19" s="89" t="s">
        <v>7</v>
      </c>
      <c r="F19" s="87"/>
      <c r="G19" s="87"/>
      <c r="H19" s="87"/>
      <c r="I19" s="88"/>
      <c r="J19" s="21">
        <f t="shared" si="4"/>
        <v>4</v>
      </c>
      <c r="K19" s="89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129"/>
      <c r="C20" s="130"/>
      <c r="D20" s="2" t="s">
        <v>77</v>
      </c>
      <c r="E20" s="89" t="s">
        <v>7</v>
      </c>
      <c r="F20" s="87"/>
      <c r="G20" s="87"/>
      <c r="H20" s="87"/>
      <c r="I20" s="88"/>
      <c r="J20" s="21">
        <f>IF(E20 = "Yes",5,0)</f>
        <v>5</v>
      </c>
      <c r="K20" s="89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B21" s="50"/>
      <c r="C21" s="52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38"/>
      <c r="B22" s="131" t="s">
        <v>131</v>
      </c>
      <c r="C22" s="132"/>
      <c r="D22" s="24" t="s">
        <v>108</v>
      </c>
      <c r="E22" s="86">
        <f>SUM(J23:J25)</f>
        <v>12</v>
      </c>
      <c r="F22" s="87"/>
      <c r="G22" s="87"/>
      <c r="H22" s="87"/>
      <c r="I22" s="88"/>
      <c r="J22" s="20"/>
      <c r="K22" s="86">
        <f>SUM(P23:P25)</f>
        <v>12</v>
      </c>
      <c r="L22" s="87"/>
      <c r="M22" s="87"/>
      <c r="N22" s="87"/>
      <c r="O22" s="88"/>
      <c r="P22" s="20"/>
      <c r="Q22" s="86"/>
      <c r="R22" s="87"/>
      <c r="S22" s="87"/>
      <c r="T22" s="87"/>
      <c r="U22" s="8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38"/>
      <c r="B23" s="133"/>
      <c r="C23" s="134"/>
      <c r="D23" s="2" t="s">
        <v>69</v>
      </c>
      <c r="E23" s="89" t="s">
        <v>7</v>
      </c>
      <c r="F23" s="87"/>
      <c r="G23" s="87"/>
      <c r="H23" s="87"/>
      <c r="I23" s="88"/>
      <c r="J23" s="21">
        <f t="shared" ref="J23:J25" si="6">IF(E23 = "Yes",4,0)</f>
        <v>4</v>
      </c>
      <c r="K23" s="89" t="s">
        <v>7</v>
      </c>
      <c r="L23" s="87"/>
      <c r="M23" s="87"/>
      <c r="N23" s="87"/>
      <c r="O23" s="88"/>
      <c r="P23" s="21">
        <f t="shared" ref="P23:P25" si="7">IF(K23 = "Yes",4,0)</f>
        <v>4</v>
      </c>
      <c r="Q23" s="14"/>
      <c r="R23" s="15"/>
      <c r="S23" s="15"/>
      <c r="T23" s="15"/>
      <c r="U23" s="15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38"/>
      <c r="B24" s="133"/>
      <c r="C24" s="134"/>
      <c r="D24" s="2" t="s">
        <v>72</v>
      </c>
      <c r="E24" s="89" t="s">
        <v>7</v>
      </c>
      <c r="F24" s="87"/>
      <c r="G24" s="87"/>
      <c r="H24" s="87"/>
      <c r="I24" s="88"/>
      <c r="J24" s="21">
        <f t="shared" si="6"/>
        <v>4</v>
      </c>
      <c r="K24" s="89" t="s">
        <v>7</v>
      </c>
      <c r="L24" s="87"/>
      <c r="M24" s="87"/>
      <c r="N24" s="87"/>
      <c r="O24" s="88"/>
      <c r="P24" s="21">
        <f t="shared" si="7"/>
        <v>4</v>
      </c>
      <c r="Q24" s="14"/>
      <c r="R24" s="15"/>
      <c r="S24" s="15"/>
      <c r="T24" s="15"/>
      <c r="U24" s="15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38"/>
      <c r="B25" s="135"/>
      <c r="C25" s="136"/>
      <c r="D25" s="2" t="s">
        <v>10</v>
      </c>
      <c r="E25" s="89" t="s">
        <v>7</v>
      </c>
      <c r="F25" s="87"/>
      <c r="G25" s="87"/>
      <c r="H25" s="87"/>
      <c r="I25" s="88"/>
      <c r="J25" s="21">
        <f t="shared" si="6"/>
        <v>4</v>
      </c>
      <c r="K25" s="89" t="s">
        <v>7</v>
      </c>
      <c r="L25" s="87"/>
      <c r="M25" s="87"/>
      <c r="N25" s="87"/>
      <c r="O25" s="88"/>
      <c r="P25" s="21">
        <f t="shared" si="7"/>
        <v>4</v>
      </c>
      <c r="Q25" s="14"/>
      <c r="R25" s="15"/>
      <c r="S25" s="15"/>
      <c r="T25" s="15"/>
      <c r="U25" s="15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37" t="s">
        <v>93</v>
      </c>
      <c r="C27" s="138" t="s">
        <v>90</v>
      </c>
      <c r="D27" s="24" t="s">
        <v>109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37"/>
      <c r="C28" s="138"/>
      <c r="D28" s="25" t="s">
        <v>165</v>
      </c>
      <c r="E28" s="89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89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37"/>
      <c r="C29" s="138"/>
      <c r="D29" s="25" t="s">
        <v>114</v>
      </c>
      <c r="E29" s="89" t="s">
        <v>7</v>
      </c>
      <c r="F29" s="87"/>
      <c r="G29" s="87"/>
      <c r="H29" s="87"/>
      <c r="I29" s="88"/>
      <c r="J29" s="21">
        <f t="shared" si="8"/>
        <v>4</v>
      </c>
      <c r="K29" s="89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37"/>
      <c r="C30" s="138"/>
      <c r="D30" s="25" t="s">
        <v>115</v>
      </c>
      <c r="E30" s="89" t="s">
        <v>7</v>
      </c>
      <c r="F30" s="87"/>
      <c r="G30" s="87"/>
      <c r="H30" s="87"/>
      <c r="I30" s="88"/>
      <c r="J30" s="21">
        <f t="shared" si="8"/>
        <v>4</v>
      </c>
      <c r="K30" s="89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37" t="s">
        <v>93</v>
      </c>
      <c r="C32" s="137"/>
      <c r="D32" s="24" t="s">
        <v>110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37"/>
      <c r="C33" s="137"/>
      <c r="D33" s="25" t="s">
        <v>116</v>
      </c>
      <c r="E33" s="89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89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37"/>
      <c r="C34" s="137"/>
      <c r="D34" s="1" t="s">
        <v>65</v>
      </c>
      <c r="E34" s="89" t="s">
        <v>7</v>
      </c>
      <c r="F34" s="87"/>
      <c r="G34" s="87"/>
      <c r="H34" s="87"/>
      <c r="I34" s="88"/>
      <c r="J34" s="21">
        <f t="shared" si="10"/>
        <v>3</v>
      </c>
      <c r="K34" s="89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37"/>
      <c r="C35" s="137"/>
      <c r="D35" s="1" t="s">
        <v>8</v>
      </c>
      <c r="E35" s="89" t="s">
        <v>7</v>
      </c>
      <c r="F35" s="87"/>
      <c r="G35" s="87"/>
      <c r="H35" s="87"/>
      <c r="I35" s="88"/>
      <c r="J35" s="21">
        <f t="shared" si="10"/>
        <v>3</v>
      </c>
      <c r="K35" s="89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37"/>
      <c r="C36" s="137"/>
      <c r="D36" s="1" t="s">
        <v>9</v>
      </c>
      <c r="E36" s="89" t="s">
        <v>7</v>
      </c>
      <c r="F36" s="87"/>
      <c r="G36" s="87"/>
      <c r="H36" s="87"/>
      <c r="I36" s="88"/>
      <c r="J36" s="21">
        <f>IF(E36 = "Yes",4,0)</f>
        <v>4</v>
      </c>
      <c r="K36" s="89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B37" s="50"/>
      <c r="C37" s="52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37" t="s">
        <v>92</v>
      </c>
      <c r="C38" s="137"/>
      <c r="D38" s="24" t="s">
        <v>111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37"/>
      <c r="C39" s="137"/>
      <c r="D39" s="1" t="s">
        <v>70</v>
      </c>
      <c r="E39" s="89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89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37"/>
      <c r="C40" s="137"/>
      <c r="D40" s="1" t="s">
        <v>71</v>
      </c>
      <c r="E40" s="89" t="s">
        <v>7</v>
      </c>
      <c r="F40" s="87"/>
      <c r="G40" s="87"/>
      <c r="H40" s="87"/>
      <c r="I40" s="88"/>
      <c r="J40" s="21">
        <f t="shared" si="12"/>
        <v>4</v>
      </c>
      <c r="K40" s="89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37"/>
      <c r="C41" s="137"/>
      <c r="D41" s="1" t="s">
        <v>73</v>
      </c>
      <c r="E41" s="89" t="s">
        <v>7</v>
      </c>
      <c r="F41" s="87"/>
      <c r="G41" s="87"/>
      <c r="H41" s="87"/>
      <c r="I41" s="88"/>
      <c r="J41" s="21">
        <f>IF(E41 = "Yes",5,0)</f>
        <v>5</v>
      </c>
      <c r="K41" s="89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B42" s="50"/>
      <c r="C42" s="52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38"/>
      <c r="B43" s="137" t="s">
        <v>112</v>
      </c>
      <c r="C43" s="137"/>
      <c r="D43" s="24" t="s">
        <v>14</v>
      </c>
      <c r="E43" s="86">
        <f>SUM(J44:J46)</f>
        <v>12</v>
      </c>
      <c r="F43" s="87"/>
      <c r="G43" s="87"/>
      <c r="H43" s="87"/>
      <c r="I43" s="88"/>
      <c r="J43" s="20"/>
      <c r="K43" s="86">
        <f>SUM(P44:P46)</f>
        <v>12</v>
      </c>
      <c r="L43" s="87"/>
      <c r="M43" s="87"/>
      <c r="N43" s="87"/>
      <c r="O43" s="88"/>
      <c r="P43" s="20"/>
      <c r="Q43" s="86"/>
      <c r="R43" s="87"/>
      <c r="S43" s="87"/>
      <c r="T43" s="87"/>
      <c r="U43" s="8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50" customFormat="1" ht="30" x14ac:dyDescent="0.25">
      <c r="A44" s="53"/>
      <c r="B44" s="137"/>
      <c r="C44" s="137"/>
      <c r="D44" s="2" t="s">
        <v>74</v>
      </c>
      <c r="E44" s="139" t="s">
        <v>7</v>
      </c>
      <c r="F44" s="140"/>
      <c r="G44" s="140"/>
      <c r="H44" s="140"/>
      <c r="I44" s="141"/>
      <c r="J44" s="54">
        <f t="shared" ref="J44:J45" si="14">IF(E44 = "Yes",4,0)</f>
        <v>4</v>
      </c>
      <c r="K44" s="139" t="s">
        <v>7</v>
      </c>
      <c r="L44" s="140"/>
      <c r="M44" s="140"/>
      <c r="N44" s="140"/>
      <c r="O44" s="141"/>
      <c r="P44" s="54">
        <f t="shared" ref="P44:P45" si="15">IF(K44 = "Yes",4,0)</f>
        <v>4</v>
      </c>
      <c r="Q44" s="15"/>
      <c r="R44" s="15"/>
      <c r="S44" s="15"/>
      <c r="T44" s="15"/>
      <c r="U44" s="15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</row>
    <row r="45" spans="1:93" s="13" customFormat="1" ht="17.399999999999999" x14ac:dyDescent="0.25">
      <c r="A45" s="38"/>
      <c r="B45" s="137"/>
      <c r="C45" s="137"/>
      <c r="D45" s="1" t="s">
        <v>75</v>
      </c>
      <c r="E45" s="89" t="s">
        <v>7</v>
      </c>
      <c r="F45" s="87"/>
      <c r="G45" s="87"/>
      <c r="H45" s="87"/>
      <c r="I45" s="88"/>
      <c r="J45" s="21">
        <f t="shared" si="14"/>
        <v>4</v>
      </c>
      <c r="K45" s="89" t="s">
        <v>7</v>
      </c>
      <c r="L45" s="87"/>
      <c r="M45" s="87"/>
      <c r="N45" s="87"/>
      <c r="O45" s="88"/>
      <c r="P45" s="21">
        <f t="shared" si="15"/>
        <v>4</v>
      </c>
      <c r="Q45" s="14"/>
      <c r="R45" s="15"/>
      <c r="S45" s="15"/>
      <c r="T45" s="15"/>
      <c r="U45" s="15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38"/>
      <c r="B46" s="137"/>
      <c r="C46" s="137"/>
      <c r="D46" s="1" t="s">
        <v>76</v>
      </c>
      <c r="E46" s="89" t="s">
        <v>7</v>
      </c>
      <c r="F46" s="87"/>
      <c r="G46" s="87"/>
      <c r="H46" s="87"/>
      <c r="I46" s="88"/>
      <c r="J46" s="21">
        <f>IF(E46 = "Yes",4,0)</f>
        <v>4</v>
      </c>
      <c r="K46" s="89" t="s">
        <v>7</v>
      </c>
      <c r="L46" s="87"/>
      <c r="M46" s="87"/>
      <c r="N46" s="87"/>
      <c r="O46" s="88"/>
      <c r="P46" s="21">
        <f>IF(K46 = "Yes",4,0)</f>
        <v>4</v>
      </c>
      <c r="Q46" s="14"/>
      <c r="R46" s="15"/>
      <c r="S46" s="15"/>
      <c r="T46" s="15"/>
      <c r="U46" s="15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mergeCells count="109">
    <mergeCell ref="K9:O9"/>
    <mergeCell ref="K10:O10"/>
    <mergeCell ref="K42:P42"/>
    <mergeCell ref="E30:I30"/>
    <mergeCell ref="E41:I41"/>
    <mergeCell ref="E43:I43"/>
    <mergeCell ref="E32:I32"/>
    <mergeCell ref="Q38:U38"/>
    <mergeCell ref="K29:O29"/>
    <mergeCell ref="E28:I28"/>
    <mergeCell ref="E29:I29"/>
    <mergeCell ref="K30:O30"/>
    <mergeCell ref="E39:I39"/>
    <mergeCell ref="E40:I40"/>
    <mergeCell ref="D37:I37"/>
    <mergeCell ref="E38:I38"/>
    <mergeCell ref="Q43:U43"/>
    <mergeCell ref="K13:O13"/>
    <mergeCell ref="E11:I11"/>
    <mergeCell ref="O3:O4"/>
    <mergeCell ref="K5:O5"/>
    <mergeCell ref="E27:I27"/>
    <mergeCell ref="K37:P37"/>
    <mergeCell ref="E36:I36"/>
    <mergeCell ref="Q17:U17"/>
    <mergeCell ref="Q32:U32"/>
    <mergeCell ref="K15:O15"/>
    <mergeCell ref="K20:O20"/>
    <mergeCell ref="K32:O32"/>
    <mergeCell ref="E18:I18"/>
    <mergeCell ref="E15:I15"/>
    <mergeCell ref="K25:O25"/>
    <mergeCell ref="K18:O18"/>
    <mergeCell ref="K19:O19"/>
    <mergeCell ref="E34:I34"/>
    <mergeCell ref="K16:P16"/>
    <mergeCell ref="E12:I12"/>
    <mergeCell ref="E14:I14"/>
    <mergeCell ref="K6:O6"/>
    <mergeCell ref="K7:O7"/>
    <mergeCell ref="K8:O8"/>
    <mergeCell ref="I3:I4"/>
    <mergeCell ref="E35:I35"/>
    <mergeCell ref="E45:I45"/>
    <mergeCell ref="E2:I2"/>
    <mergeCell ref="K2:O2"/>
    <mergeCell ref="K45:O45"/>
    <mergeCell ref="K46:O46"/>
    <mergeCell ref="K39:O39"/>
    <mergeCell ref="K40:O40"/>
    <mergeCell ref="K11:O11"/>
    <mergeCell ref="K27:O27"/>
    <mergeCell ref="K28:O28"/>
    <mergeCell ref="K41:O41"/>
    <mergeCell ref="K43:O43"/>
    <mergeCell ref="K44:O44"/>
    <mergeCell ref="K33:O33"/>
    <mergeCell ref="K34:O34"/>
    <mergeCell ref="K35:O35"/>
    <mergeCell ref="K36:O36"/>
    <mergeCell ref="K38:O38"/>
    <mergeCell ref="K17:O17"/>
    <mergeCell ref="E5:I5"/>
    <mergeCell ref="K12:O12"/>
    <mergeCell ref="K14:O14"/>
    <mergeCell ref="B27:B30"/>
    <mergeCell ref="B6:C9"/>
    <mergeCell ref="B11:C15"/>
    <mergeCell ref="E50:I50"/>
    <mergeCell ref="E16:I16"/>
    <mergeCell ref="E21:I21"/>
    <mergeCell ref="E26:I26"/>
    <mergeCell ref="E31:I31"/>
    <mergeCell ref="E42:I42"/>
    <mergeCell ref="E6:I6"/>
    <mergeCell ref="E7:I7"/>
    <mergeCell ref="E8:I8"/>
    <mergeCell ref="E9:I9"/>
    <mergeCell ref="E10:I10"/>
    <mergeCell ref="E17:I17"/>
    <mergeCell ref="E46:I46"/>
    <mergeCell ref="E19:I19"/>
    <mergeCell ref="E20:I20"/>
    <mergeCell ref="E44:I44"/>
    <mergeCell ref="E13:I13"/>
    <mergeCell ref="K47:P47"/>
    <mergeCell ref="Q4:U4"/>
    <mergeCell ref="B17:C20"/>
    <mergeCell ref="B22:C25"/>
    <mergeCell ref="B32:C36"/>
    <mergeCell ref="B38:C41"/>
    <mergeCell ref="B43:C46"/>
    <mergeCell ref="C27:C30"/>
    <mergeCell ref="Q6:U6"/>
    <mergeCell ref="K21:O21"/>
    <mergeCell ref="K26:O26"/>
    <mergeCell ref="K31:O31"/>
    <mergeCell ref="Q11:U11"/>
    <mergeCell ref="Q22:U22"/>
    <mergeCell ref="Q27:U27"/>
    <mergeCell ref="E33:I33"/>
    <mergeCell ref="E22:I22"/>
    <mergeCell ref="K22:O22"/>
    <mergeCell ref="E23:I23"/>
    <mergeCell ref="K23:O23"/>
    <mergeCell ref="E24:I24"/>
    <mergeCell ref="K24:O24"/>
    <mergeCell ref="E25:I25"/>
    <mergeCell ref="B2:D4"/>
  </mergeCells>
  <phoneticPr fontId="7"/>
  <conditionalFormatting sqref="E3">
    <cfRule type="expression" dxfId="53" priority="58">
      <formula>$E$11 &gt; 12</formula>
    </cfRule>
    <cfRule type="expression" dxfId="52" priority="68">
      <formula>$E$11&lt;7</formula>
    </cfRule>
    <cfRule type="expression" dxfId="51" priority="66">
      <formula>$E$11 &gt;6</formula>
    </cfRule>
  </conditionalFormatting>
  <conditionalFormatting sqref="E4">
    <cfRule type="expression" dxfId="50" priority="62">
      <formula>$E$43 &gt; 11</formula>
    </cfRule>
    <cfRule type="expression" dxfId="49" priority="75">
      <formula>$E$43&lt;7</formula>
    </cfRule>
    <cfRule type="expression" dxfId="48" priority="74">
      <formula>$E$43 &gt;6</formula>
    </cfRule>
  </conditionalFormatting>
  <conditionalFormatting sqref="F3">
    <cfRule type="expression" dxfId="47" priority="59">
      <formula>$E$17 &gt; 12</formula>
    </cfRule>
    <cfRule type="expression" dxfId="46" priority="70">
      <formula>$E$17&lt;7</formula>
    </cfRule>
    <cfRule type="expression" dxfId="45" priority="69">
      <formula>$E$17 &gt;6</formula>
    </cfRule>
  </conditionalFormatting>
  <conditionalFormatting sqref="F4">
    <cfRule type="expression" dxfId="44" priority="63" stopIfTrue="1">
      <formula>$E$6 &gt; 11</formula>
    </cfRule>
    <cfRule type="expression" dxfId="43" priority="77" stopIfTrue="1">
      <formula>$E$6&lt;7</formula>
    </cfRule>
    <cfRule type="expression" dxfId="42" priority="76" stopIfTrue="1">
      <formula>$E$6 &gt;6</formula>
    </cfRule>
  </conditionalFormatting>
  <conditionalFormatting sqref="G3">
    <cfRule type="expression" dxfId="41" priority="60">
      <formula>$E$32 &gt; 12</formula>
    </cfRule>
    <cfRule type="expression" dxfId="40" priority="71">
      <formula>$E$32&lt;7</formula>
    </cfRule>
    <cfRule type="expression" dxfId="39" priority="67">
      <formula>$E$32 &gt;6</formula>
    </cfRule>
  </conditionalFormatting>
  <conditionalFormatting sqref="G4">
    <cfRule type="expression" dxfId="38" priority="79">
      <formula>$E$22 &lt;7</formula>
    </cfRule>
    <cfRule type="expression" dxfId="37" priority="78" stopIfTrue="1">
      <formula>$E$22 &gt;6</formula>
    </cfRule>
    <cfRule type="expression" dxfId="36" priority="64" stopIfTrue="1">
      <formula>$E$22 &gt; 11</formula>
    </cfRule>
  </conditionalFormatting>
  <conditionalFormatting sqref="H3">
    <cfRule type="expression" dxfId="35" priority="61">
      <formula>$E$38 &gt; 12</formula>
    </cfRule>
    <cfRule type="expression" dxfId="34" priority="73">
      <formula>$E$38&lt;7</formula>
    </cfRule>
    <cfRule type="expression" dxfId="33" priority="72">
      <formula>$E$38 &gt;6</formula>
    </cfRule>
  </conditionalFormatting>
  <conditionalFormatting sqref="H4">
    <cfRule type="expression" dxfId="32" priority="87">
      <formula>$E$27&lt;7</formula>
    </cfRule>
    <cfRule type="expression" dxfId="31" priority="85">
      <formula>$E$27 &gt; 11</formula>
    </cfRule>
    <cfRule type="expression" dxfId="30" priority="86">
      <formula>$E$27 &gt;6</formula>
    </cfRule>
  </conditionalFormatting>
  <conditionalFormatting sqref="I3:I4">
    <cfRule type="cellIs" dxfId="29" priority="82" operator="lessThanOrEqual">
      <formula>60</formula>
    </cfRule>
    <cfRule type="cellIs" dxfId="28" priority="83" operator="between">
      <formula>61</formula>
      <formula>99</formula>
    </cfRule>
    <cfRule type="cellIs" dxfId="27" priority="84" operator="equal">
      <formula>100</formula>
    </cfRule>
  </conditionalFormatting>
  <conditionalFormatting sqref="K3">
    <cfRule type="expression" dxfId="26" priority="4">
      <formula>$K$11 &gt; 12</formula>
    </cfRule>
    <cfRule type="expression" dxfId="25" priority="14">
      <formula>$K$11&lt;7</formula>
    </cfRule>
    <cfRule type="expression" dxfId="24" priority="12">
      <formula>$K$11 &gt;6</formula>
    </cfRule>
  </conditionalFormatting>
  <conditionalFormatting sqref="K4">
    <cfRule type="expression" dxfId="23" priority="21">
      <formula>$K$43&lt;7</formula>
    </cfRule>
    <cfRule type="expression" dxfId="22" priority="20">
      <formula>$K$43 &gt;6</formula>
    </cfRule>
    <cfRule type="expression" dxfId="21" priority="8">
      <formula>$K$43 &gt; 11</formula>
    </cfRule>
  </conditionalFormatting>
  <conditionalFormatting sqref="L3">
    <cfRule type="expression" dxfId="20" priority="16">
      <formula>$K$17&lt;7</formula>
    </cfRule>
    <cfRule type="expression" dxfId="19" priority="5">
      <formula>$K$17 &gt; 12</formula>
    </cfRule>
    <cfRule type="expression" dxfId="18" priority="15">
      <formula>$K$17 &gt;6</formula>
    </cfRule>
  </conditionalFormatting>
  <conditionalFormatting sqref="L4">
    <cfRule type="expression" dxfId="17" priority="2">
      <formula>$K$6 &gt;6</formula>
    </cfRule>
    <cfRule type="expression" dxfId="16" priority="3">
      <formula>$K$6&lt;7</formula>
    </cfRule>
    <cfRule type="expression" dxfId="15" priority="1">
      <formula>$K$6 &gt; 11</formula>
    </cfRule>
  </conditionalFormatting>
  <conditionalFormatting sqref="M3">
    <cfRule type="expression" dxfId="14" priority="6">
      <formula>$K$32 &gt; 12</formula>
    </cfRule>
    <cfRule type="expression" dxfId="13" priority="17">
      <formula>$K$32&lt;7</formula>
    </cfRule>
    <cfRule type="expression" dxfId="12" priority="13">
      <formula>$K$32 &gt;6</formula>
    </cfRule>
  </conditionalFormatting>
  <conditionalFormatting sqref="M4">
    <cfRule type="expression" dxfId="11" priority="91" stopIfTrue="1">
      <formula>$K$22 &gt; 11</formula>
    </cfRule>
    <cfRule type="expression" dxfId="10" priority="92" stopIfTrue="1">
      <formula>$K$22 &gt;6</formula>
    </cfRule>
    <cfRule type="expression" dxfId="9" priority="93" stopIfTrue="1">
      <formula>$K$22 &lt;7</formula>
    </cfRule>
  </conditionalFormatting>
  <conditionalFormatting sqref="N3">
    <cfRule type="expression" dxfId="8" priority="19">
      <formula>$K$38&lt;7</formula>
    </cfRule>
    <cfRule type="expression" dxfId="7" priority="18">
      <formula>$K$38 &gt;6</formula>
    </cfRule>
    <cfRule type="expression" dxfId="6" priority="7">
      <formula>$K$38 &gt; 12</formula>
    </cfRule>
  </conditionalFormatting>
  <conditionalFormatting sqref="N4">
    <cfRule type="expression" dxfId="5" priority="88">
      <formula>$K$27 &gt; 11</formula>
    </cfRule>
    <cfRule type="expression" dxfId="4" priority="89">
      <formula>$K$27 &gt;6</formula>
    </cfRule>
    <cfRule type="expression" dxfId="3" priority="90">
      <formula>$K$27&lt;7</formula>
    </cfRule>
  </conditionalFormatting>
  <conditionalFormatting sqref="O3:O4">
    <cfRule type="cellIs" dxfId="2" priority="28" operator="lessThanOrEqual">
      <formula>60</formula>
    </cfRule>
    <cfRule type="cellIs" dxfId="1" priority="30" operator="equal">
      <formula>100</formula>
    </cfRule>
    <cfRule type="cellIs" dxfId="0" priority="29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285809FC-38D7-43DB-90FF-1D4E9AECEF7B}">
      <formula1>"Yes,No"</formula1>
    </dataValidation>
  </dataValidations>
  <pageMargins left="0.25" right="0.25" top="0.75" bottom="0.75" header="0.3" footer="0.3"/>
  <pageSetup scale="3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844-9CB7-FB44-9148-63C0E749341C}">
  <dimension ref="A1:D10"/>
  <sheetViews>
    <sheetView topLeftCell="A4" zoomScale="200" zoomScaleNormal="100" workbookViewId="0">
      <selection activeCell="A9" sqref="A9:C10"/>
    </sheetView>
  </sheetViews>
  <sheetFormatPr defaultColWidth="10.77734375" defaultRowHeight="13.2" x14ac:dyDescent="0.25"/>
  <cols>
    <col min="1" max="1" width="37.33203125" style="34" customWidth="1"/>
    <col min="2" max="2" width="33" style="34" customWidth="1"/>
    <col min="3" max="3" width="29.77734375" style="34" customWidth="1"/>
    <col min="4" max="4" width="13.21875" style="34" customWidth="1"/>
    <col min="5" max="16384" width="10.77734375" style="34"/>
  </cols>
  <sheetData>
    <row r="1" spans="1:4" ht="15.6" x14ac:dyDescent="0.25">
      <c r="A1" s="146" t="s">
        <v>157</v>
      </c>
      <c r="B1" s="146"/>
      <c r="C1" s="146"/>
    </row>
    <row r="2" spans="1:4" ht="15" x14ac:dyDescent="0.25">
      <c r="A2" s="35" t="s">
        <v>158</v>
      </c>
      <c r="B2" s="142">
        <f>'Opportunity Basic Information'!A3</f>
        <v>0</v>
      </c>
      <c r="C2" s="144"/>
      <c r="D2" s="71" t="s">
        <v>171</v>
      </c>
    </row>
    <row r="3" spans="1:4" ht="30" x14ac:dyDescent="0.25">
      <c r="A3" s="35" t="s">
        <v>163</v>
      </c>
      <c r="B3" s="145"/>
      <c r="C3" s="145"/>
    </row>
    <row r="4" spans="1:4" ht="262.05" customHeight="1" x14ac:dyDescent="0.25">
      <c r="A4" s="35" t="s">
        <v>159</v>
      </c>
      <c r="B4" s="147"/>
      <c r="C4" s="148"/>
    </row>
    <row r="5" spans="1:4" ht="30" x14ac:dyDescent="0.25">
      <c r="A5" s="35" t="s">
        <v>160</v>
      </c>
      <c r="B5" s="145"/>
      <c r="C5" s="145"/>
    </row>
    <row r="6" spans="1:4" ht="15" x14ac:dyDescent="0.25">
      <c r="A6" s="35" t="s">
        <v>161</v>
      </c>
      <c r="B6" s="145">
        <f>'Opportunity Basic Information'!F3</f>
        <v>0</v>
      </c>
      <c r="C6" s="145"/>
      <c r="D6" s="71" t="s">
        <v>171</v>
      </c>
    </row>
    <row r="7" spans="1:4" ht="16.05" customHeight="1" x14ac:dyDescent="0.25">
      <c r="A7" s="146" t="s">
        <v>162</v>
      </c>
      <c r="B7" s="146"/>
      <c r="C7" s="146"/>
    </row>
    <row r="8" spans="1:4" ht="55.05" customHeight="1" x14ac:dyDescent="0.25">
      <c r="A8" s="36" t="s">
        <v>162</v>
      </c>
      <c r="B8" s="145"/>
      <c r="C8" s="145"/>
    </row>
    <row r="9" spans="1:4" ht="24" customHeight="1" x14ac:dyDescent="0.25">
      <c r="A9" s="146" t="s">
        <v>170</v>
      </c>
      <c r="B9" s="146"/>
      <c r="C9" s="146"/>
    </row>
    <row r="10" spans="1:4" ht="40.049999999999997" customHeight="1" x14ac:dyDescent="0.25">
      <c r="A10" s="142"/>
      <c r="B10" s="143"/>
      <c r="C10" s="144"/>
    </row>
  </sheetData>
  <mergeCells count="10">
    <mergeCell ref="A10:C10"/>
    <mergeCell ref="B6:C6"/>
    <mergeCell ref="A9:C9"/>
    <mergeCell ref="A1:C1"/>
    <mergeCell ref="B2:C2"/>
    <mergeCell ref="B3:C3"/>
    <mergeCell ref="A7:C7"/>
    <mergeCell ref="B8:C8"/>
    <mergeCell ref="B4:C4"/>
    <mergeCell ref="B5:C5"/>
  </mergeCells>
  <phoneticPr fontId="11" type="noConversion"/>
  <dataValidations count="1">
    <dataValidation type="list" allowBlank="1" showInputMessage="1" showErrorMessage="1" sqref="C5:C6 C1:C3" xr:uid="{92CB0F8D-B118-BA44-9BB2-39B23B867B9E}">
      <formula1>"GenAI, Migration, Modernization, Migration and Modernization, Others"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Opportunity Basic Information</vt:lpstr>
      <vt:lpstr>评估积分卡 (TC) </vt:lpstr>
      <vt:lpstr>评估积分卡 (SC)</vt:lpstr>
      <vt:lpstr>Scorecard（English）</vt:lpstr>
      <vt:lpstr>Competitive Info</vt:lpstr>
      <vt:lpstr>'Opportunity Basic Information'!Print_Area</vt:lpstr>
      <vt:lpstr>Scorecard（English）!Print_Area</vt:lpstr>
      <vt:lpstr>'评估积分卡 (SC)'!Print_Area</vt:lpstr>
      <vt:lpstr>'评估积分卡 (TC)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Thomson, Griz</dc:creator>
  <cp:lastModifiedBy>Feng, Xue(Sherry)</cp:lastModifiedBy>
  <cp:lastPrinted>2026-03-23T00:36:38Z</cp:lastPrinted>
  <dcterms:created xsi:type="dcterms:W3CDTF">2020-09-01T20:10:41Z</dcterms:created>
  <dcterms:modified xsi:type="dcterms:W3CDTF">2026-05-07T02:34:54Z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2025-05-12T09:09:01Z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927261ce-693e-497e-998e-b66b4b192d4d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